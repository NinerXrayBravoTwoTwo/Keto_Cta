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0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source\repos\NinerXrayBravoTwoTwo\Keto_Cta\Analysis\"/>
    </mc:Choice>
  </mc:AlternateContent>
  <xr:revisionPtr revIDLastSave="0" documentId="13_ncr:1_{04F622C7-0E38-48C4-A3AE-ECB4829539D2}" xr6:coauthVersionLast="47" xr6:coauthVersionMax="47" xr10:uidLastSave="{00000000-0000-0000-0000-000000000000}"/>
  <bookViews>
    <workbookView xWindow="-108" yWindow="-108" windowWidth="23256" windowHeight="13896" firstSheet="3" activeTab="8" xr2:uid="{D0CD085A-3F8F-465F-9DED-72CF3944BED2}"/>
  </bookViews>
  <sheets>
    <sheet name="Basic Stats" sheetId="1" r:id="rId1"/>
    <sheet name="Sheet4" sheetId="8" r:id="rId2"/>
    <sheet name="Keto-CTA with change &amp;Ln-Values" sheetId="2" r:id="rId3"/>
    <sheet name="Sheet1" sheetId="4" r:id="rId4"/>
    <sheet name="Sheet3" sheetId="6" r:id="rId5"/>
    <sheet name="Sheet2" sheetId="5" r:id="rId6"/>
    <sheet name="GeoMean" sheetId="7" r:id="rId7"/>
    <sheet name="Comparison of Heart Scan Tools" sheetId="3" r:id="rId8"/>
    <sheet name="Sheet5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85" i="9" l="1"/>
  <c r="AQ79" i="9"/>
  <c r="AQ77" i="9"/>
  <c r="AQ70" i="9"/>
  <c r="AQ69" i="9"/>
  <c r="AQ67" i="9"/>
  <c r="AQ64" i="9"/>
  <c r="AQ63" i="9"/>
  <c r="AQ62" i="9"/>
  <c r="AQ60" i="9"/>
  <c r="AQ53" i="9"/>
  <c r="AQ76" i="9"/>
  <c r="AQ86" i="9"/>
  <c r="AQ82" i="9"/>
  <c r="AQ80" i="9"/>
  <c r="AQ78" i="9"/>
  <c r="AQ57" i="9"/>
  <c r="AQ75" i="9"/>
  <c r="AQ66" i="9"/>
  <c r="AQ59" i="9"/>
  <c r="AQ88" i="9"/>
  <c r="AQ87" i="9"/>
  <c r="AQ74" i="9"/>
  <c r="AQ72" i="9"/>
  <c r="AQ71" i="9"/>
  <c r="AQ68" i="9"/>
  <c r="AQ65" i="9"/>
  <c r="AQ61" i="9"/>
  <c r="AQ56" i="9"/>
  <c r="AQ89" i="9"/>
  <c r="AQ92" i="9"/>
  <c r="AQ84" i="9"/>
  <c r="AQ55" i="9"/>
  <c r="AQ54" i="9"/>
  <c r="AQ81" i="9"/>
  <c r="AQ58" i="9"/>
  <c r="AQ91" i="9"/>
  <c r="AQ90" i="9"/>
  <c r="AQ83" i="9"/>
  <c r="AQ73" i="9"/>
  <c r="BD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D26" i="9"/>
  <c r="BD27" i="9"/>
  <c r="BD28" i="9"/>
  <c r="BD29" i="9"/>
  <c r="BD30" i="9"/>
  <c r="BD31" i="9"/>
  <c r="BD32" i="9"/>
  <c r="GN45" i="5"/>
  <c r="GN43" i="5"/>
  <c r="GN41" i="5"/>
  <c r="GN42" i="5" s="1"/>
  <c r="GN44" i="5" s="1"/>
  <c r="GL43" i="5"/>
  <c r="GL41" i="5"/>
  <c r="GL42" i="5" s="1"/>
  <c r="AE21" i="1"/>
  <c r="AD21" i="1"/>
  <c r="AC21" i="1"/>
  <c r="AB21" i="1"/>
  <c r="AA21" i="1"/>
  <c r="Z21" i="1"/>
  <c r="BD51" i="5"/>
  <c r="BD50" i="5"/>
  <c r="BD49" i="5"/>
  <c r="BD48" i="5"/>
  <c r="BD47" i="5"/>
  <c r="BD46" i="5"/>
  <c r="BD45" i="5"/>
  <c r="BD44" i="5"/>
  <c r="BD43" i="5"/>
  <c r="BD42" i="5"/>
  <c r="BD41" i="5"/>
  <c r="BD40" i="5"/>
  <c r="BD3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BD10" i="5"/>
  <c r="BD9" i="5"/>
  <c r="BD8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I3" i="5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H2" i="2"/>
  <c r="AH101" i="2"/>
  <c r="AF20" i="1"/>
  <c r="AF19" i="1"/>
  <c r="AF18" i="1"/>
  <c r="AF17" i="1"/>
  <c r="AF16" i="1"/>
  <c r="AF15" i="1"/>
  <c r="AF14" i="1"/>
  <c r="AF13" i="1"/>
  <c r="AG65" i="2"/>
  <c r="AG3" i="2"/>
  <c r="AG4" i="2"/>
  <c r="AG8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52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51" i="2"/>
  <c r="AG55" i="2"/>
  <c r="AG53" i="2"/>
  <c r="AG77" i="2"/>
  <c r="AG2" i="2"/>
  <c r="AG66" i="2"/>
  <c r="AG78" i="2"/>
  <c r="AG93" i="2"/>
  <c r="AG99" i="2"/>
  <c r="AG67" i="2"/>
  <c r="AG59" i="2"/>
  <c r="AG49" i="2"/>
  <c r="AG50" i="2"/>
  <c r="AG54" i="2"/>
  <c r="AG61" i="2"/>
  <c r="AG88" i="2"/>
  <c r="AG62" i="2"/>
  <c r="AG101" i="2"/>
  <c r="AG79" i="2"/>
  <c r="AG63" i="2"/>
  <c r="AG72" i="2"/>
  <c r="AG85" i="2"/>
  <c r="AG58" i="2"/>
  <c r="AG73" i="2"/>
  <c r="AG60" i="2"/>
  <c r="AG56" i="2"/>
  <c r="AG74" i="2"/>
  <c r="AG71" i="2"/>
  <c r="AG64" i="2"/>
  <c r="AG98" i="2"/>
  <c r="AG80" i="2"/>
  <c r="AG69" i="2"/>
  <c r="AG75" i="2"/>
  <c r="AG81" i="2"/>
  <c r="AG76" i="2"/>
  <c r="AG82" i="2"/>
  <c r="AG95" i="2"/>
  <c r="AG57" i="2"/>
  <c r="AG86" i="2"/>
  <c r="AG97" i="2"/>
  <c r="AG91" i="2"/>
  <c r="AG100" i="2"/>
  <c r="AG68" i="2"/>
  <c r="AG89" i="2"/>
  <c r="AG90" i="2"/>
  <c r="AG87" i="2"/>
  <c r="AG94" i="2"/>
  <c r="AG92" i="2"/>
  <c r="AG96" i="2"/>
  <c r="AG70" i="2"/>
  <c r="AG83" i="2"/>
  <c r="GL44" i="5" l="1"/>
  <c r="GL45" i="5" s="1"/>
  <c r="AG22" i="1"/>
  <c r="AF21" i="1"/>
  <c r="V21" i="1"/>
  <c r="U21" i="1"/>
  <c r="T21" i="1"/>
  <c r="S21" i="1"/>
  <c r="R21" i="1"/>
  <c r="Q21" i="1"/>
  <c r="W20" i="1"/>
  <c r="W19" i="1"/>
  <c r="W18" i="1"/>
  <c r="W17" i="1"/>
  <c r="W16" i="1"/>
  <c r="W15" i="1"/>
  <c r="W14" i="1"/>
  <c r="W13" i="1"/>
  <c r="W21" i="1" l="1"/>
</calcChain>
</file>

<file path=xl/sharedStrings.xml><?xml version="1.0" encoding="utf-8"?>
<sst xmlns="http://schemas.openxmlformats.org/spreadsheetml/2006/main" count="1412" uniqueCount="510">
  <si>
    <t>Chart</t>
  </si>
  <si>
    <t xml:space="preserve"> Set</t>
  </si>
  <si>
    <t xml:space="preserve"> Mean X</t>
  </si>
  <si>
    <t xml:space="preserve"> Mean Y</t>
  </si>
  <si>
    <t xml:space="preserve"> SD X</t>
  </si>
  <si>
    <t xml:space="preserve"> SD Y</t>
  </si>
  <si>
    <t xml:space="preserve"> Annual Change (Slope)</t>
  </si>
  <si>
    <t xml:space="preserve"> Y-Intercept</t>
  </si>
  <si>
    <t xml:space="preserve"> Max X</t>
  </si>
  <si>
    <t xml:space="preserve"> Max Y</t>
  </si>
  <si>
    <t xml:space="preserve"> Min X</t>
  </si>
  <si>
    <t xml:space="preserve"> Min Y</t>
  </si>
  <si>
    <t xml:space="preserve"> p-value</t>
  </si>
  <si>
    <t>Total regressions calculated 50240</t>
  </si>
  <si>
    <t>Tps0 vs. Tps1</t>
  </si>
  <si>
    <t xml:space="preserve"> Eta</t>
  </si>
  <si>
    <t>Log mismatch regressions skipped: 14400</t>
  </si>
  <si>
    <t>Tcpv0 vs. Tcpv1</t>
  </si>
  <si>
    <t>Inverse Ratio regressions included: 13050</t>
  </si>
  <si>
    <t>Pav0 vs. Pav1</t>
  </si>
  <si>
    <t>Uninteresting regressions included in calculated (See Dust.IsInteresting flag): 15220</t>
  </si>
  <si>
    <t>Cac0 vs. Cac1</t>
  </si>
  <si>
    <t>Total interesting regressions: 8219</t>
  </si>
  <si>
    <t>Ncpv0 vs. Ncpv1</t>
  </si>
  <si>
    <t>Interesting remaining regressions: 8219</t>
  </si>
  <si>
    <t xml:space="preserve"> Gamma</t>
  </si>
  <si>
    <t>Calculated Subset Regressions:</t>
  </si>
  <si>
    <t>Set</t>
  </si>
  <si>
    <t xml:space="preserve"> 0-0.2</t>
  </si>
  <si>
    <t xml:space="preserve"> 0.2-0.4</t>
  </si>
  <si>
    <t xml:space="preserve"> 0.4-0.6</t>
  </si>
  <si>
    <t xml:space="preserve"> 0.6-0.8</t>
  </si>
  <si>
    <t xml:space="preserve"> 0.8-1.0</t>
  </si>
  <si>
    <t xml:space="preserve"> NaN</t>
  </si>
  <si>
    <t>reconile</t>
  </si>
  <si>
    <t>Omega</t>
  </si>
  <si>
    <t>Alpha</t>
  </si>
  <si>
    <t xml:space="preserve"> Omega</t>
  </si>
  <si>
    <t>Beta</t>
  </si>
  <si>
    <t>Zeta</t>
  </si>
  <si>
    <t>Gamma</t>
  </si>
  <si>
    <t>Theta</t>
  </si>
  <si>
    <t>Eta</t>
  </si>
  <si>
    <t xml:space="preserve"> Theta</t>
  </si>
  <si>
    <t>BetaUZeta</t>
  </si>
  <si>
    <t>reconcile</t>
  </si>
  <si>
    <t xml:space="preserve"> Zeta</t>
  </si>
  <si>
    <t>Basic Cleerly Statistics from the Keto-CTA study in 2021-2024, hight of Covid Pandemic time frame.</t>
  </si>
  <si>
    <t>📚 A Quick Regression Refresher (For the Non-Statisticians)</t>
  </si>
  <si>
    <t>Bear with me while I briefly over-explain this for those unfamiliar with regression…</t>
  </si>
  <si>
    <r>
      <t>Linear regression</t>
    </r>
    <r>
      <rPr>
        <sz val="11"/>
        <color rgb="FF363737"/>
        <rFont val="Segoe UI"/>
        <family val="2"/>
      </rPr>
      <t> is one of the most common statistical tools used to see how two sets of numbers relate to one another. It’s basically a </t>
    </r>
    <r>
      <rPr>
        <b/>
        <sz val="11"/>
        <color rgb="FF363737"/>
        <rFont val="Segoe UI"/>
        <family val="2"/>
      </rPr>
      <t>smart average</t>
    </r>
    <r>
      <rPr>
        <sz val="11"/>
        <color rgb="FF363737"/>
        <rFont val="Segoe UI"/>
        <family val="2"/>
      </rPr>
      <t> — a line of best fit — that helps reveal how one variable tends to increase or decrease in relation to another.</t>
    </r>
  </si>
  <si>
    <r>
      <t>Although the </t>
    </r>
    <r>
      <rPr>
        <b/>
        <sz val="11"/>
        <color rgb="FF363737"/>
        <rFont val="Segoe UI"/>
        <family val="2"/>
      </rPr>
      <t>method of least squares</t>
    </r>
    <r>
      <rPr>
        <sz val="11"/>
        <color rgb="FF363737"/>
        <rFont val="Segoe UI"/>
        <family val="2"/>
      </rPr>
      <t> was developed in the early 1800s by Gauss and Legendre, the term "regression" as we now use it in statistics was popularized in </t>
    </r>
    <r>
      <rPr>
        <b/>
        <sz val="11"/>
        <color rgb="FF363737"/>
        <rFont val="Segoe UI"/>
        <family val="2"/>
      </rPr>
      <t>1886</t>
    </r>
    <r>
      <rPr>
        <sz val="11"/>
        <color rgb="FF363737"/>
        <rFont val="Segoe UI"/>
        <family val="2"/>
      </rPr>
      <t> by </t>
    </r>
    <r>
      <rPr>
        <b/>
        <sz val="11"/>
        <color rgb="FF363737"/>
        <rFont val="Segoe UI"/>
        <family val="2"/>
      </rPr>
      <t>Sir Francis Galton</t>
    </r>
    <r>
      <rPr>
        <sz val="11"/>
        <color rgb="FF363737"/>
        <rFont val="Segoe UI"/>
        <family val="2"/>
      </rPr>
      <t> in his paper, </t>
    </r>
    <r>
      <rPr>
        <i/>
        <sz val="11"/>
        <color rgb="FF363737"/>
        <rFont val="Segoe UI"/>
        <family val="2"/>
      </rPr>
      <t>“Regression Toward Mediocrity in Hereditary Stature.”</t>
    </r>
  </si>
  <si>
    <r>
      <t>In modern terms, a </t>
    </r>
    <r>
      <rPr>
        <b/>
        <sz val="11"/>
        <color rgb="FF363737"/>
        <rFont val="Segoe UI"/>
        <family val="2"/>
      </rPr>
      <t>bivariate regression</t>
    </r>
    <r>
      <rPr>
        <sz val="11"/>
        <color rgb="FF363737"/>
        <rFont val="Segoe UI"/>
        <family val="2"/>
      </rPr>
      <t> (two variables) compares:</t>
    </r>
  </si>
  <si>
    <r>
      <t>An </t>
    </r>
    <r>
      <rPr>
        <b/>
        <sz val="11"/>
        <color rgb="FF363737"/>
        <rFont val="Segoe UI"/>
        <family val="2"/>
      </rPr>
      <t>independent variable (X)</t>
    </r>
    <r>
      <rPr>
        <sz val="11"/>
        <color rgb="FF363737"/>
        <rFont val="Segoe UI"/>
        <family val="2"/>
      </rPr>
      <t> — the “regressor”</t>
    </r>
  </si>
  <si>
    <r>
      <t>A </t>
    </r>
    <r>
      <rPr>
        <b/>
        <sz val="11"/>
        <color rgb="FF363737"/>
        <rFont val="Segoe UI"/>
        <family val="2"/>
      </rPr>
      <t>dependent variable (Y)</t>
    </r>
    <r>
      <rPr>
        <sz val="11"/>
        <color rgb="FF363737"/>
        <rFont val="Segoe UI"/>
        <family val="2"/>
      </rPr>
      <t> — the one that changes in response</t>
    </r>
  </si>
  <si>
    <t>You measure:</t>
  </si>
  <si>
    <r>
      <t>Their </t>
    </r>
    <r>
      <rPr>
        <b/>
        <sz val="11"/>
        <color rgb="FF363737"/>
        <rFont val="Segoe UI"/>
        <family val="2"/>
      </rPr>
      <t>means</t>
    </r>
    <r>
      <rPr>
        <sz val="11"/>
        <color rgb="FF363737"/>
        <rFont val="Segoe UI"/>
        <family val="2"/>
      </rPr>
      <t>, </t>
    </r>
    <r>
      <rPr>
        <b/>
        <sz val="11"/>
        <color rgb="FF363737"/>
        <rFont val="Segoe UI"/>
        <family val="2"/>
      </rPr>
      <t>standard deviations</t>
    </r>
    <r>
      <rPr>
        <sz val="11"/>
        <color rgb="FF363737"/>
        <rFont val="Segoe UI"/>
        <family val="2"/>
      </rPr>
      <t>, and </t>
    </r>
    <r>
      <rPr>
        <b/>
        <sz val="11"/>
        <color rgb="FF363737"/>
        <rFont val="Segoe UI"/>
        <family val="2"/>
      </rPr>
      <t>range</t>
    </r>
    <r>
      <rPr>
        <sz val="11"/>
        <color rgb="FF363737"/>
        <rFont val="Segoe UI"/>
        <family val="2"/>
      </rPr>
      <t> (min/max)</t>
    </r>
  </si>
  <si>
    <r>
      <t>How much Y seems to "follow" X — that’s the </t>
    </r>
    <r>
      <rPr>
        <b/>
        <sz val="11"/>
        <color rgb="FF363737"/>
        <rFont val="Segoe UI"/>
        <family val="2"/>
      </rPr>
      <t>slope</t>
    </r>
  </si>
  <si>
    <r>
      <t>How tightly the points hug the line — that’s the </t>
    </r>
    <r>
      <rPr>
        <b/>
        <sz val="11"/>
        <color rgb="FF363737"/>
        <rFont val="Segoe UI"/>
        <family val="2"/>
      </rPr>
      <t>R² value</t>
    </r>
  </si>
  <si>
    <r>
      <t>And whether the correlation is statistically significant — via the </t>
    </r>
    <r>
      <rPr>
        <b/>
        <sz val="11"/>
        <color rgb="FF363737"/>
        <rFont val="Segoe UI"/>
        <family val="2"/>
      </rPr>
      <t>p-value</t>
    </r>
  </si>
  <si>
    <t xml:space="preserve"> (this report is independent of the Lundquist institute and Dave Feldman)</t>
  </si>
  <si>
    <t xml:space="preserve"> N</t>
  </si>
  <si>
    <t>Index</t>
  </si>
  <si>
    <t>Tps0</t>
  </si>
  <si>
    <t>Tps1</t>
  </si>
  <si>
    <t>Cac0</t>
  </si>
  <si>
    <t>Cac1</t>
  </si>
  <si>
    <t>Ncpv0</t>
  </si>
  <si>
    <t>Ncpv1</t>
  </si>
  <si>
    <t>Tcpv0</t>
  </si>
  <si>
    <t>Tcpv1</t>
  </si>
  <si>
    <t>Pav0</t>
  </si>
  <si>
    <t>Pav1</t>
  </si>
  <si>
    <t>LnTps0</t>
  </si>
  <si>
    <t>LnTps1</t>
  </si>
  <si>
    <t>LnCac0</t>
  </si>
  <si>
    <t>LnCac1</t>
  </si>
  <si>
    <t>LnNcpv0</t>
  </si>
  <si>
    <t>LnNcpv1</t>
  </si>
  <si>
    <t>LnTcpv0</t>
  </si>
  <si>
    <t>LnTcpv1</t>
  </si>
  <si>
    <t>LnPav0</t>
  </si>
  <si>
    <t>LnPav1</t>
  </si>
  <si>
    <t>DTps</t>
  </si>
  <si>
    <t>DCac</t>
  </si>
  <si>
    <t>DNcpv</t>
  </si>
  <si>
    <t>DTcpv</t>
  </si>
  <si>
    <t>DPav</t>
  </si>
  <si>
    <t>LnDTps</t>
  </si>
  <si>
    <t>LnDCac</t>
  </si>
  <si>
    <t>LnDNcpv</t>
  </si>
  <si>
    <t>LnDTcpv</t>
  </si>
  <si>
    <t>LnDPav</t>
  </si>
  <si>
    <t>0.025667746748577813-1</t>
  </si>
  <si>
    <t>0.03052920503482279-1</t>
  </si>
  <si>
    <t>0.011928570865273812-1</t>
  </si>
  <si>
    <t>0.06485097231961627-1</t>
  </si>
  <si>
    <t>0.10975086395911929-1</t>
  </si>
  <si>
    <t>0.08342160813907236-1</t>
  </si>
  <si>
    <t>Is Zeta</t>
  </si>
  <si>
    <t>Test/Tool</t>
  </si>
  <si>
    <t>What It Measures</t>
  </si>
  <si>
    <t>Key Outputs</t>
  </si>
  <si>
    <t>Strengths</t>
  </si>
  <si>
    <t>Limitations</t>
  </si>
  <si>
    <t>Typical Use Case</t>
  </si>
  <si>
    <t>Traditional CAC (Coronary Artery Calcium) Scoring</t>
  </si>
  <si>
    <t>Calcium deposits in arteries as a marker of plaque buildup (atherosclerosis). Focuses on risk prediction, not current blockages or flow.</t>
  </si>
  <si>
    <t>Numerical score (e.g., Agatston: 0 = low risk, &gt;400 = high risk).</t>
  </si>
  <si>
    <t>Cheap, quick, low radiation; great for screening asymptomatic people; predicts future heart events well.</t>
  </si>
  <si>
    <t>Misses soft (non-calcified) plaque; doesn't assess blood flow or blockage impact.</t>
  </si>
  <si>
    <t>First-line risk assessment in healthy adults (e.g., deciding on statins/lifestyle changes). Like checking the "ripeness" of potential issues.</t>
  </si>
  <si>
    <t>QAngio (Quantitative Angiography)</t>
  </si>
  <si>
    <t>Artery dimensions, narrowings (stenosis), and estimated blood flow from invasive angiogram images.</t>
  </si>
  <si>
    <t>Stenosis percentage, vessel measurements, Quantitative Flow Ratio (QFR, e.g., &lt;0.80 = flow issue).</t>
  </si>
  <si>
    <t>Precise for cath lab procedures; helps guide stents without extra invasive tools.</t>
  </si>
  <si>
    <t>Requires invasive catheter; not for screening; limited to geometry, not deep plaque details.</t>
  </si>
  <si>
    <t>During angiograms for patients with suspected severe blockages; procedural planning. Like measuring the "structure" in a detailed, hands-on way.</t>
  </si>
  <si>
    <t>HeartFlow Analysis</t>
  </si>
  <si>
    <t>Simulated blood flow through arteries using CT angiography data; assesses if blockages cause ischemia (reduced heart blood supply).</t>
  </si>
  <si>
    <t>3D model with Fractional Flow Reserve (FFRct, e.g., &lt;0.80 = significant issue).</t>
  </si>
  <si>
    <t>Non-invasive functional insight; reduces unnecessary invasive tests; personalized modeling.</t>
  </si>
  <si>
    <t>Needs high-quality CT scan; processing time/cost; focuses more on flow than plaque types.</t>
  </si>
  <si>
    <t>Symptomatic patients or intermediate CT findings; deciding if intervention is needed. Like evaluating the "juiciness" or flow dynamics.</t>
  </si>
  <si>
    <t>Cleerly Heart Analysis</t>
  </si>
  <si>
    <t>Detailed plaque volume, types (soft vs. calcified), and composition from CT angiography; predicts rupture risk and tracks changes.</t>
  </si>
  <si>
    <t>Plaque volumes by type, stenosis, CAD staging (0-4), ischemia estimates.</t>
  </si>
  <si>
    <t>Spots vulnerable soft plaque CAC misses; monitors treatment effects (e.g., statins); AI-precision for early detection.</t>
  </si>
  <si>
    <t>Requires CT angiography; newer tech with less long-term data; anatomy-focused over pure function.</t>
  </si>
  <si>
    <t>Comprehensive evaluation in at-risk folks; tracking progress when symptoms or risks persist despite low CAC. Like examining the "intricate details" of plaque biology.</t>
  </si>
  <si>
    <t>Data Set</t>
  </si>
  <si>
    <t>N</t>
  </si>
  <si>
    <r>
      <rPr>
        <sz val="14"/>
        <color rgb="FF363737"/>
        <rFont val="Segoe UI"/>
        <family val="2"/>
      </rPr>
      <t xml:space="preserve">γ </t>
    </r>
    <r>
      <rPr>
        <sz val="11"/>
        <color rgb="FF363737"/>
        <rFont val="Segoe UI"/>
        <family val="2"/>
      </rPr>
      <t>Gamma</t>
    </r>
  </si>
  <si>
    <r>
      <rPr>
        <sz val="14"/>
        <color rgb="FF363737"/>
        <rFont val="Aptos Narrow"/>
        <family val="2"/>
      </rPr>
      <t xml:space="preserve">ζ </t>
    </r>
    <r>
      <rPr>
        <sz val="11"/>
        <color rgb="FF363737"/>
        <rFont val="Segoe UI"/>
        <family val="2"/>
      </rPr>
      <t>Zeta</t>
    </r>
  </si>
  <si>
    <r>
      <rPr>
        <sz val="14"/>
        <color rgb="FF363737"/>
        <rFont val="Segoe UI"/>
        <family val="2"/>
      </rPr>
      <t xml:space="preserve">η </t>
    </r>
    <r>
      <rPr>
        <sz val="11"/>
        <color rgb="FF363737"/>
        <rFont val="Segoe UI"/>
        <family val="2"/>
      </rPr>
      <t>Eta</t>
    </r>
  </si>
  <si>
    <r>
      <rPr>
        <sz val="14"/>
        <color rgb="FF363737"/>
        <rFont val="Aptos Narrow"/>
        <family val="2"/>
      </rPr>
      <t>θ</t>
    </r>
    <r>
      <rPr>
        <sz val="14"/>
        <color rgb="FF363737"/>
        <rFont val="Segoe UI"/>
        <family val="2"/>
      </rPr>
      <t xml:space="preserve"> </t>
    </r>
    <r>
      <rPr>
        <sz val="11"/>
        <color rgb="FF363737"/>
        <rFont val="Segoe UI"/>
        <family val="2"/>
      </rPr>
      <t>Theta</t>
    </r>
  </si>
  <si>
    <r>
      <rPr>
        <sz val="14"/>
        <color rgb="FF363737"/>
        <rFont val="Segoe UI"/>
        <family val="2"/>
      </rPr>
      <t>Ω</t>
    </r>
    <r>
      <rPr>
        <sz val="11"/>
        <color rgb="FF363737"/>
        <rFont val="Segoe UI"/>
        <family val="2"/>
      </rPr>
      <t xml:space="preserve"> Omega </t>
    </r>
  </si>
  <si>
    <t>Sort by isZeta decend, DCAC decend, DNCPV decend</t>
  </si>
  <si>
    <t>Qangio</t>
  </si>
  <si>
    <t>Column1</t>
  </si>
  <si>
    <t>Regression                               Set           Mean X   moe X    Mean Y   moe Y     Slope       xSD      p-value</t>
  </si>
  <si>
    <t>Cac1 vs. Cac0                            Gamma          0.000   0.000     0.000   0.000       NaN     0.000   1.00000000</t>
  </si>
  <si>
    <t>Cac1 vs. Cac0                            Eta          180.294  17.834   223.294  22.442    1.2347    34.686   0.00024839</t>
  </si>
  <si>
    <t>Cac1 vs. Cac0                            Zeta          91.333  23.889    94.417  25.939    1.0769    37.599   0.00003316</t>
  </si>
  <si>
    <t>Cac1 vs. Cac0                            Qangio       170.100  39.641   208.300  53.969    1.3543    55.414   0.00002460</t>
  </si>
  <si>
    <t>Cac1 vs. Cac0                            Beta          98.300   6.364   118.650   7.816    1.2122    19.898   0.00000058</t>
  </si>
  <si>
    <t>Cac1 vs. Cac0                            BetaUZeta     96.692   4.802   113.058   5.765    1.1836    17.247   0.00000053</t>
  </si>
  <si>
    <t>Cac1 vs. Cac0                            Omega         50.280   2.011    58.790   2.400    1.1803    10.137   0.00000000</t>
  </si>
  <si>
    <t>Cac1 vs. Cac0                            Alpha         44.682   2.196    53.932   2.685    1.2109    10.364   0.00000000</t>
  </si>
  <si>
    <t>Cac1 vs. Cac0                            Theta         37.696   6.072    41.304   6.117    1.0065    14.041   0.00000000</t>
  </si>
  <si>
    <t>-</t>
  </si>
  <si>
    <t>Cac1 vs. Cac0  -- Beta</t>
  </si>
  <si>
    <t>Slope: 1.2122 N=40 R^2: 0.9742 p-value: 0.000001 y-int -0.5124</t>
  </si>
  <si>
    <t>Id</t>
  </si>
  <si>
    <t xml:space="preserve"> Cac0 </t>
  </si>
  <si>
    <t xml:space="preserve"> Cac1</t>
  </si>
  <si>
    <t>LnCac1 vs. LnCac0  -- Beta</t>
  </si>
  <si>
    <t>Slope: 0.8716 N=40 R^2: 0.9857 p-value: 0.000000 y-int 0.7957</t>
  </si>
  <si>
    <t xml:space="preserve"> LnCac0 </t>
  </si>
  <si>
    <t xml:space="preserve"> LnCac1</t>
  </si>
  <si>
    <t>LnCac1 vs. LnCac0                        Gamma          0.000   0.000     0.000   0.000       NaN     0.000   1.00000000</t>
  </si>
  <si>
    <t>LnCac1 vs. LnCac0                        Zeta           2.808   0.459     2.479   0.509    1.0808     0.723   0.00278009</t>
  </si>
  <si>
    <t>LnCac1 vs. LnCac0                        BetaUZeta      3.279   0.080     3.477   0.079    0.9528     0.288   0.00028121</t>
  </si>
  <si>
    <t>LnCac1 vs. LnCac0                        Eta            4.871   0.119     5.141   0.102    0.8510     0.231   0.00004815</t>
  </si>
  <si>
    <t>LnCac1 vs. LnCac0                        Qangio         3.767   0.627     3.944   0.623    0.9903     0.877   0.00000315</t>
  </si>
  <si>
    <t>LnCac1 vs. LnCac0                        Theta          2.348   0.168     2.768   0.139    0.8168     0.389   0.00000038</t>
  </si>
  <si>
    <t>LnCac1 vs. LnCac0                        Omega          1.705   0.044     1.808   0.045    1.0125     0.222   0.00000004</t>
  </si>
  <si>
    <t>LnCac1 vs. LnCac0                        Beta           3.420   0.100     3.777   0.088    0.8716     0.313   0.00000000</t>
  </si>
  <si>
    <t>LnCac1 vs. LnCac0                        Alpha          1.555   0.049     1.717   0.050    1.0184     0.231   0.00000000</t>
  </si>
  <si>
    <t>Regression                               Set            Lower   Upper     Slope Std Err       xSD       ySD      p-value</t>
  </si>
  <si>
    <t>Ln(Qangio0/Tcpv1) vs. Ln(Ncpv1/Tcpv1)  -- Qangio</t>
  </si>
  <si>
    <t>Slope: 0.8152 N=10 R^2: 0.9080 p-value: 0.022866 y-int -0.6147</t>
  </si>
  <si>
    <t xml:space="preserve"> Ln(Ncpv1/Tcpv1) </t>
  </si>
  <si>
    <t xml:space="preserve"> Ln(Qangio0/Tcpv1)</t>
  </si>
  <si>
    <t>Ln(Qangio0/Tcpv1) vs. Ln(Ncpv1/Tcpv1)    Qangio        0.1461  1.4844    0.8152  0.2902     0.613     0.524   0.02286629</t>
  </si>
  <si>
    <t>Ln(Ncpv0/Tcpv1) vs. Ln(Ncpv1/Tcpv1)  -- Alpha</t>
  </si>
  <si>
    <t>Slope: 0.8842 N=88 R^2: 0.9627 p-value: 0.000003 y-int -0.0921</t>
  </si>
  <si>
    <t xml:space="preserve"> Ln(Ncpv0/Tcpv1)</t>
  </si>
  <si>
    <t>Ln(Ncpv0/Tcpv1) vs. Ln(Ncpv1/Tcpv1)      Eta            1.459   0.053     1.229   0.050    0.8885     0.104   0.01338734</t>
  </si>
  <si>
    <t>Ln(Ncpv0/Tcpv1) vs. Ln(Ncpv1/Tcpv1)      Zeta           1.187   0.256     1.075   0.252    0.9760     0.404   0.00003200</t>
  </si>
  <si>
    <t>Ln(Ncpv0/Tcpv1) vs. Ln(Ncpv1/Tcpv1)      Theta          2.810   0.129     2.458   0.131    0.9956     0.299   0.00002933</t>
  </si>
  <si>
    <t>Ln(Ncpv0/Tcpv1) vs. Ln(Ncpv1/Tcpv1)      Qangio         2.053   0.438     1.651   0.351    0.7974     0.613   0.00001273</t>
  </si>
  <si>
    <t>Ln(Ncpv0/Tcpv1) vs. Ln(Ncpv1/Tcpv1)      Gamma          2.257   0.103     1.861   0.091    0.8655     0.355   0.00000785</t>
  </si>
  <si>
    <t>Ln(Ncpv0/Tcpv1) vs. Ln(Ncpv1/Tcpv1)      Alpha          2.247   0.045     1.895   0.041    0.8842     0.213   0.00000271</t>
  </si>
  <si>
    <t>Ln(Ncpv0/Tcpv1) vs. Ln(Ncpv1/Tcpv1)      Omega          2.120   0.039     1.797   0.035    0.8855     0.195   0.00000155</t>
  </si>
  <si>
    <t>Ln(Ncpv0/Tcpv1) vs. Ln(Ncpv1/Tcpv1)      Beta           2.236   0.065     1.936   0.064    0.9669     0.205   0.00000148</t>
  </si>
  <si>
    <t>Ln(Ncpv0/Tcpv1) vs. Ln(Ncpv1/Tcpv1)      BetaUZeta      1.994   0.053     1.737   0.051    0.9530     0.190   0.00000020</t>
  </si>
  <si>
    <t>Ln(Ncpv1/Tcpv1) vs. Ln(Ncpv0/Tcpv0)  -- Alpha</t>
  </si>
  <si>
    <t>Slope: 0.4428 N=88 R^2: 0.1083 p-value: 0.731243 y-int 1.6960</t>
  </si>
  <si>
    <t xml:space="preserve"> Ln(Ncpv0/Tcpv0) </t>
  </si>
  <si>
    <t xml:space="preserve"> Ln(Ncpv1/Tcpv1)</t>
  </si>
  <si>
    <t>Ln(Ncpv1/Tcpv1) vs. Ln(Ncpv0/Tcpv0)      Theta          2.090   0.113     2.810   0.129   -0.0514     0.262   0.96600267</t>
  </si>
  <si>
    <t>Ln(Ncpv1/Tcpv1) vs. Ln(Ncpv0/Tcpv0)      Beta           1.803   0.053     2.236   0.065    0.2424     0.164   0.84775386</t>
  </si>
  <si>
    <t>Ln(Ncpv1/Tcpv1) vs. Ln(Ncpv0/Tcpv0)      BetaUZeta      1.836   0.056     1.994   0.053    0.2255     0.200   0.81160748</t>
  </si>
  <si>
    <t>Ln(Ncpv1/Tcpv1) vs. Ln(Ncpv0/Tcpv0)      Omega          1.329   0.032     2.120   0.039    0.3534     0.162   0.76238358</t>
  </si>
  <si>
    <t>Ln(Ncpv1/Tcpv1) vs. Ln(Ncpv0/Tcpv0)      Alpha          1.245   0.034     2.247   0.045    0.4428     0.158   0.73124339</t>
  </si>
  <si>
    <t>Ln(Ncpv1/Tcpv1) vs. Ln(Ncpv0/Tcpv0)      Zeta           1.945   0.457     1.187   0.256    0.2371     0.719   0.67977082</t>
  </si>
  <si>
    <t>Ln(Ncpv1/Tcpv1) vs. Ln(Ncpv0/Tcpv0)      Gamma          0.781   0.069     2.257   0.103    0.5926     0.238   0.67346325</t>
  </si>
  <si>
    <t>Ln(Ncpv1/Tcpv1) vs. Ln(Ncpv0/Tcpv0)      Qangio         2.029   0.492     2.053   0.438   -0.4835     0.688   0.57890285</t>
  </si>
  <si>
    <t>Ln(Ncpv1/Tcpv1) vs. Ln(Ncpv0/Tcpv0)      Eta            1.415   0.058     1.459   0.053    0.8304     0.114   0.05708145</t>
  </si>
  <si>
    <t>Ln(Ncpv0/Tcpv1) vs. Ln(Ncpv1/Tcpv0)  -- Alpha</t>
  </si>
  <si>
    <t>Slope: 0.3223 N=88 R^2: 0.0932 p-value: 0.752096 y-int 1.4251</t>
  </si>
  <si>
    <t xml:space="preserve"> Ln(Ncpv1/Tcpv0) </t>
  </si>
  <si>
    <t>Ln(Ncpv0/Tcpv1) vs. Ln(Ncpv1/Tcpv0)      Beta           2.105   0.058     1.936   0.064    0.1013     0.183   0.92865629</t>
  </si>
  <si>
    <t>Ln(Ncpv0/Tcpv1) vs. Ln(Ncpv1/Tcpv0)      Theta          2.434   0.126     2.458   0.131   -0.1671     0.292   0.87741797</t>
  </si>
  <si>
    <t>Ln(Ncpv0/Tcpv1) vs. Ln(Ncpv1/Tcpv0)      BetaUZeta      2.099   0.059     1.737   0.051    0.1761     0.210   0.84050134</t>
  </si>
  <si>
    <t>Ln(Ncpv0/Tcpv1) vs. Ln(Ncpv1/Tcpv0)      Omega          1.533   0.036     1.797   0.035    0.2830     0.180   0.76550750</t>
  </si>
  <si>
    <t>Ln(Ncpv0/Tcpv1) vs. Ln(Ncpv1/Tcpv0)      Alpha          1.459   0.038     1.895   0.041    0.3223     0.182   0.75209625</t>
  </si>
  <si>
    <t>Ln(Ncpv0/Tcpv1) vs. Ln(Ncpv1/Tcpv0)      Gamma          0.920   0.080     1.861   0.091    0.4362     0.276   0.68552918</t>
  </si>
  <si>
    <t>Ln(Ncpv0/Tcpv1) vs. Ln(Ncpv1/Tcpv0)      Zeta           2.081   0.462     1.075   0.252    0.2324     0.728   0.67649946</t>
  </si>
  <si>
    <t>Ln(Ncpv0/Tcpv1) vs. Ln(Ncpv1/Tcpv0)      Qangio         2.317   0.494     1.651   0.351   -0.4117     0.690   0.54331054</t>
  </si>
  <si>
    <t>Ln(Ncpv0/Tcpv1) vs. Ln(Ncpv1/Tcpv0)      Eta            1.659   0.062     1.229   0.050    0.7266     0.120   0.07126498</t>
  </si>
  <si>
    <t>LnNcpv1 vs. LnNcpv0  -- Alpha</t>
  </si>
  <si>
    <t>Slope: 0.8110 N=88 R^2: 0.9124 p-value: 0.001983 y-int 1.2190</t>
  </si>
  <si>
    <t xml:space="preserve"> LnNcpv0 </t>
  </si>
  <si>
    <t xml:space="preserve"> LnNcpv1</t>
  </si>
  <si>
    <t>LnNcpv1 vs. LnNcpv0                      Gamma          2.523   0.051     3.249   0.043    0.7646     0.174   0.06252549</t>
  </si>
  <si>
    <t>LnNcpv1 vs. LnNcpv0                      Zeta           4.304   0.150     4.561   0.131    0.8327     0.237   0.01603625</t>
  </si>
  <si>
    <t>LnNcpv1 vs. LnNcpv0                      Qangio         5.163   0.205     5.645   0.128    0.5979     0.287   0.01467741</t>
  </si>
  <si>
    <t>LnNcpv1 vs. LnNcpv0                      Theta          4.318   0.086     4.720   0.073    0.8138     0.199   0.00390328</t>
  </si>
  <si>
    <t>LnNcpv1 vs. LnNcpv0                      Eta            5.000   0.091     5.322   0.089    0.9465     0.177   0.00257899</t>
  </si>
  <si>
    <t>LnNcpv1 vs. LnNcpv0                      Alpha          3.471   0.034     4.034   0.029    0.8110     0.160   0.00198265</t>
  </si>
  <si>
    <t>LnNcpv1 vs. LnNcpv0                      Omega          3.571   0.029     4.097   0.024    0.8054     0.146   0.00187370</t>
  </si>
  <si>
    <t>LnNcpv1 vs. LnNcpv0                      BetaUZeta      4.538   0.034     4.880   0.031    0.8641     0.123   0.00117102</t>
  </si>
  <si>
    <t>LnNcpv1 vs. LnNcpv0                      Beta           4.608   0.046     4.976   0.041    0.8573     0.144   0.00086125</t>
  </si>
  <si>
    <t>growthCac vs LnDCac                      Gamma          0.000   0.000     0.000   0.000       NaN     0.000   1.00000000</t>
  </si>
  <si>
    <t>growthCac vs LnDCac                      Theta          1.318   0.064     7.825   1.406   -0.0393     0.147   0.99866018</t>
  </si>
  <si>
    <t>growthCac vs LnDCac                      BetaUZeta      2.068   0.052     5.994   0.449   -0.3717     0.188   0.96628381</t>
  </si>
  <si>
    <t>growthCac vs LnDCac                      Qangio         2.478   0.445     6.128   2.505   -0.5772     0.622   0.92887175</t>
  </si>
  <si>
    <t>growthCac vs LnDCac                      Beta           2.243   0.066     6.409   0.615   -1.4488     0.206   0.87888498</t>
  </si>
  <si>
    <t>growthCac vs LnDCac                      Alpha          1.020   0.032     2.913   0.197    1.2592     0.152   0.83562200</t>
  </si>
  <si>
    <t>growthCac vs LnDCac                      Omega          1.075   0.028     3.117   0.175    1.3866     0.142   0.82118825</t>
  </si>
  <si>
    <t>growthCac vs LnDCac                      Zeta           1.485   0.269     4.611   1.928    2.1745     0.423   0.77728038</t>
  </si>
  <si>
    <t>growthCac vs LnDCac                      Eta            3.495   0.091     4.493   0.641   -2.8201     0.177   0.68796130</t>
  </si>
  <si>
    <t>growthCac vs LnDCac  -- Eta</t>
  </si>
  <si>
    <t>Slope: -2.8201 N=17 R^2: 0.1597 p-value: 0.687961 y-int 14.3495</t>
  </si>
  <si>
    <t xml:space="preserve"> LnDCac </t>
  </si>
  <si>
    <t xml:space="preserve"> growthCac</t>
  </si>
  <si>
    <t>&gt; keto</t>
  </si>
  <si>
    <t>growth</t>
  </si>
  <si>
    <t>zeta</t>
  </si>
  <si>
    <t>Cac-dbl-yrs</t>
  </si>
  <si>
    <t>Ncpv-dbl-yrs</t>
  </si>
  <si>
    <t>QAngio-dbl-yrs</t>
  </si>
  <si>
    <t>Inf</t>
  </si>
  <si>
    <t>NaN</t>
  </si>
  <si>
    <t>beta</t>
  </si>
  <si>
    <t>qangio</t>
  </si>
  <si>
    <t>GrowthCac vs. GrowthNcpv  -- Eta</t>
  </si>
  <si>
    <t>Slope: 0.0059 N=17 R^2: 0.0000 p-value: 0.998225 y-int 4.4761</t>
  </si>
  <si>
    <t xml:space="preserve"> GrowthNcpv </t>
  </si>
  <si>
    <t xml:space="preserve"> GrowthCac</t>
  </si>
  <si>
    <t>GrowthCac vs. GrowthNcpv                 Gamma          1.585   0.094     0.000   0.000    0.0000     0.324   1.00000000</t>
  </si>
  <si>
    <t>GrowthCac vs. GrowthNcpv                 Zeta           3.916   1.095    -2.814   2.062    0.0000     1.724   0.99999573</t>
  </si>
  <si>
    <t>GrowthCac vs. GrowthNcpv                 Eta            2.950   0.262     4.493   0.641    0.0059     0.510   0.99822451</t>
  </si>
  <si>
    <t>GrowthCac vs. GrowthNcpv                 Omega          2.502   0.066     2.226   0.181   -0.0181     0.332   0.99481490</t>
  </si>
  <si>
    <t>GrowthCac vs. GrowthNcpv                 Alpha          2.309   0.064     2.913   0.197    0.1116     0.303   0.97132454</t>
  </si>
  <si>
    <t>GrowthCac vs. GrowthNcpv                 BetaUZeta      3.349   0.152     4.281   0.479   -0.2692     0.545   0.93339092</t>
  </si>
  <si>
    <t>GrowthCac vs. GrowthNcpv                 Beta           3.178   0.166     6.409   0.615   -0.3562     0.518   0.92570227</t>
  </si>
  <si>
    <t>GrowthCac vs. GrowthNcpv                 Theta          3.347   0.362     7.825   1.406   -0.4669     0.837   0.90896060</t>
  </si>
  <si>
    <t>GrowthCac vs. GrowthNcpv                 Qangio         2.445   0.491     6.128   2.505   -1.1913     0.687   0.83515486</t>
  </si>
  <si>
    <t>GrowthCac vs. GrowthNcpv  -- Theta</t>
  </si>
  <si>
    <t>Slope: -0.4669 N=23 R^2: 0.0145 p-value: 0.908961 y-int 9.3879</t>
  </si>
  <si>
    <t>betau</t>
  </si>
  <si>
    <t>zeta gr</t>
  </si>
  <si>
    <t>owth</t>
  </si>
  <si>
    <t>OMEGA</t>
  </si>
  <si>
    <t>regressors</t>
  </si>
  <si>
    <t xml:space="preserve"> LnGeoMeanCac </t>
  </si>
  <si>
    <t xml:space="preserve"> Ln(Cac1/Cac0)</t>
  </si>
  <si>
    <t>Ln(Cac1/Cac0) vs. LnGeoMeanCac           Gamma          0.000   0.000     0.000   0.000       NaN     0.000   1.00000000</t>
  </si>
  <si>
    <t>Ln(Cac1/Cac0) vs. LnGeoMeanCac           Beta           3.531   0.100     0.727   0.018    0.0914     0.313   0.55945380</t>
  </si>
  <si>
    <t>Ln(Cac1/Cac0) vs. LnGeoMeanCac           Theta          2.441   0.168     0.640   0.039    0.1316     0.388   0.52624576</t>
  </si>
  <si>
    <t>Ln(Cac1/Cac0) vs. LnGeoMeanCac           Eta            5.006   0.110     0.844   0.015   -0.0923     0.214   0.39556182</t>
  </si>
  <si>
    <t>Ln(Cac1/Cac0) vs. LnGeoMeanCac           BetaUZeta      3.291   0.084     0.637   0.015    0.1175     0.301   0.39143815</t>
  </si>
  <si>
    <t>Ln(Cac1/Cac0) vs. LnGeoMeanCac           Alpha          1.605   0.050     0.330   0.010    0.1654     0.236   0.12417564</t>
  </si>
  <si>
    <t>Ln(Cac1/Cac0) vs. LnGeoMeanCac           Omega          1.711   0.045     0.331   0.008    0.1581     0.227   0.11576800</t>
  </si>
  <si>
    <t>Ln(Cac1/Cac0) vs. LnGeoMeanCac           Zeta           2.488   0.509     0.339   0.069    0.1346     0.801   0.00002343</t>
  </si>
  <si>
    <t>Ln(Cac1/Cac0) vs. LnGeoMeanCac           Qangio         3.821   0.637     0.542   0.090    0.1404     0.891   0.00000074</t>
  </si>
  <si>
    <t>Ln(Cac1/Cac0) vs. LnGeoMeanCac  -- BetaUZeta</t>
  </si>
  <si>
    <t>Slope: 0.1175 N=52 R^2: 0.4373 p-value: 0.391438 y-int 0.2507</t>
  </si>
  <si>
    <t>moe X</t>
  </si>
  <si>
    <t>Mean Y</t>
  </si>
  <si>
    <t>moe Y</t>
  </si>
  <si>
    <t>Slope</t>
  </si>
  <si>
    <t>xSD</t>
  </si>
  <si>
    <t>p-value</t>
  </si>
  <si>
    <t>Slope: 0.2001 N=52 R^2: 0.6070 p-value: 0.228662 y-int -1.9529</t>
  </si>
  <si>
    <t xml:space="preserve"> OrdAsc </t>
  </si>
  <si>
    <t xml:space="preserve"> GrowthNcpv</t>
  </si>
  <si>
    <t>GeoMeanNcpv vs. OrdAsc  -- BetaUZeta</t>
  </si>
  <si>
    <t>Slope: 6.5901 N=52 R^2: 0.8638 p-value: 0.016996 y-int -27.9410</t>
  </si>
  <si>
    <t xml:space="preserve"> GeoMeanNcpv</t>
  </si>
  <si>
    <t>GeoMeanNcpv vs. OrdAsc                   Alpha         44.500   0.580    87.612   2.346    3.4483     2.739   0.10975893</t>
  </si>
  <si>
    <t>GeoMeanNcpv vs. OrdAsc                   Omega         50.500   0.579    89.506   1.983    2.9697     2.916   0.08893367</t>
  </si>
  <si>
    <t>GeoMeanNcpv vs. OrdAsc                   Gamma         24.500   0.593    27.550   1.165    1.7330     2.042   0.07335527</t>
  </si>
  <si>
    <t>GeoMeanNcpv vs. OrdAsc                   BetaUZeta     26.500   0.591   146.697   4.189    6.5901     2.122   0.01699578</t>
  </si>
  <si>
    <t>GeoMeanNcpv vs. OrdAsc                   Beta          20.500   0.599   159.688   5.864    9.2121     1.872   0.01033099</t>
  </si>
  <si>
    <t>GeoMeanNcpv vs. OrdAsc                   Zeta           6.500   0.691   103.395  12.699   17.7837     1.087   0.00590654</t>
  </si>
  <si>
    <t>GeoMeanNcpv vs. OrdAsc                   Qangio         5.500   0.722   264.210  34.031   46.0587     1.009   0.00340057</t>
  </si>
  <si>
    <t>GeoMeanNcpv vs. OrdAsc                   Eta            9.000   0.649   213.540  17.169   25.5493     1.262   0.00318614</t>
  </si>
  <si>
    <t>GeoMeanNcpv vs. OrdAsc                   Theta         12.000   0.625   119.883   7.358   11.4213     1.446   0.00092174</t>
  </si>
  <si>
    <t>Ln(Ncpv1/Ncpv0) vs. OrdAsc  -- Gamma</t>
  </si>
  <si>
    <t>Slope: 0.0281 N=48 R^2: 0.8579 p-value: 0.020256 y-int 0.3440</t>
  </si>
  <si>
    <t xml:space="preserve"> Ln(Ncpv1/Ncpv0)</t>
  </si>
  <si>
    <t>Ln(Ncpv1/Ncpv0) vs. OrdAsc               Qangio         5.500   0.722     0.980   0.062    0.0737     1.009   0.16226104</t>
  </si>
  <si>
    <t>Ln(Ncpv1/Ncpv0) vs. OrdAsc               Eta            9.000   0.649     0.872   0.014    0.0192     1.262   0.08488959</t>
  </si>
  <si>
    <t>Ln(Ncpv1/Ncpv0) vs. OrdAsc               Omega         50.500   0.579     0.958   0.006    0.0099     2.916   0.05358200</t>
  </si>
  <si>
    <t>Ln(Ncpv1/Ncpv0) vs. OrdAsc               Zeta           6.500   0.691     0.840   0.029    0.0383     1.087   0.05186867</t>
  </si>
  <si>
    <t>Ln(Ncpv1/Ncpv0) vs. OrdAsc               Alpha         44.500   0.580     0.974   0.008    0.0118     2.739   0.04936557</t>
  </si>
  <si>
    <t>Ln(Ncpv1/Ncpv0) vs. OrdAsc               Beta          20.500   0.599     0.905   0.008    0.0124     1.872   0.04437623</t>
  </si>
  <si>
    <t>Ln(Ncpv1/Ncpv0) vs. OrdAsc               BetaUZeta     26.500   0.591     0.890   0.006    0.0095     2.122   0.03367087</t>
  </si>
  <si>
    <t>Ln(Ncpv1/Ncpv0) vs. OrdAsc               Gamma         24.500   0.593     1.031   0.018    0.0281     2.042   0.02025558</t>
  </si>
  <si>
    <t>Ln(Ncpv1/Ncpv0) vs. OrdAsc               Theta         12.000   0.625     0.930   0.017    0.0258     1.446   0.01929603</t>
  </si>
  <si>
    <t>Ln(Ncpv1/Ncpv0) vs. OrdAsc  -- Omega</t>
  </si>
  <si>
    <t>Slope: 0.0099 N=100 R^2: 0.7957 p-value: 0.053582 y-int 0.4588</t>
  </si>
  <si>
    <t xml:space="preserve"> Ncpv1/Ncpv0</t>
  </si>
  <si>
    <t>Ncpv1/Ncpv0 vs. OrdAsc                   Omega         50.500   0.579     1.741   0.018    0.0275     2.916   0.07649705</t>
  </si>
  <si>
    <t>Ncpv1/Ncpv0 vs. OrdAsc                   Theta         12.000   0.625     1.579   0.049    0.0704     1.446   0.06525432</t>
  </si>
  <si>
    <t>Ncpv1/Ncpv0 vs. OrdAsc                   Alpha         44.500   0.580     1.796   0.022    0.0329     2.739   0.06093690</t>
  </si>
  <si>
    <t>Ncpv1/Ncpv0 vs. OrdAsc                   Gamma         24.500   0.593     2.038   0.050    0.0793     2.042   0.00517320</t>
  </si>
  <si>
    <t>ln^2</t>
  </si>
  <si>
    <t>GrowthNcpv vs. RankAsc  -- BetaUZeta</t>
  </si>
  <si>
    <t xml:space="preserve"> RankAsc </t>
  </si>
  <si>
    <t>GrowthNcpv vs. RankAsc                   Gamma         24.500   0.593     1.585   0.094    0.1055     2.042   0.38919377</t>
  </si>
  <si>
    <t>GrowthNcpv vs. RankAsc                   Theta         12.000   0.625     3.347   0.362    0.4216     1.446   0.32180907</t>
  </si>
  <si>
    <t>GrowthNcpv vs. RankAsc                   Alpha         44.500   0.580     2.309   0.064    0.0800     2.739   0.30362014</t>
  </si>
  <si>
    <t>GrowthNcpv vs. RankAsc                   Beta          20.500   0.599     3.178   0.166    0.2028     1.872   0.29974619</t>
  </si>
  <si>
    <t>GrowthNcpv vs. RankAsc                   Omega         50.500   0.579     2.502   0.066    0.0851     2.916   0.26925247</t>
  </si>
  <si>
    <t>GrowthNcpv vs. RankAsc                   BetaUZeta     26.500   0.591     3.349   0.152    0.2001     2.122   0.22866178</t>
  </si>
  <si>
    <t>GrowthNcpv vs. RankAsc                   Eta            9.000   0.649     2.950   0.262    0.3356     1.262   0.18112052</t>
  </si>
  <si>
    <t>GrowthNcpv vs. RankAsc                   Qangio         5.500   0.722     2.445   0.491    0.5867     1.009   0.16692932</t>
  </si>
  <si>
    <t>GrowthNcpv vs. RankAsc                   Zeta           6.500   0.691     3.916   1.095    1.4192     1.087   0.09720331</t>
  </si>
  <si>
    <t xml:space="preserve"> TdNcpv  </t>
  </si>
  <si>
    <t>Ncpv1/Ncpv0 vs. TdNcpv   -- Gamma</t>
  </si>
  <si>
    <t>Slope: -0.1451 N=48 R^2: 0.0760 p-value: 0.780156 y-int 2.2680</t>
  </si>
  <si>
    <t>Ncpv1/Ncpv0 vs. TdNcpv                   Zeta           3.916   1.095     1.341   0.072   -0.0178     1.724   0.80121905</t>
  </si>
  <si>
    <t>Ncpv1/Ncpv0 vs. TdNcpv                   Gamma          1.585   0.094     2.038   0.050   -0.1451     0.324   0.78015644</t>
  </si>
  <si>
    <t>Ncpv1/Ncpv0 vs. TdNcpv                   Omega          2.502   0.066     1.741   0.018   -0.0892     0.332   0.73527949</t>
  </si>
  <si>
    <t>Ncpv1/Ncpv0 vs. TdNcpv                   Alpha          2.309   0.064     1.796   0.022   -0.1186     0.303   0.70989094</t>
  </si>
  <si>
    <t>Ncpv1/Ncpv0 vs. TdNcpv                   BetaUZeta      3.349   0.152     1.468   0.017   -0.0489     0.545   0.63405439</t>
  </si>
  <si>
    <t>Ncpv1/Ncpv0 vs. TdNcpv                   Theta          3.347   0.362     1.579   0.049   -0.0723     0.837   0.55267777</t>
  </si>
  <si>
    <t>Ncpv1/Ncpv0 vs. TdNcpv                   Beta           3.178   0.166     1.505   0.023   -0.0741     0.518   0.53942816</t>
  </si>
  <si>
    <t>Ncpv1/Ncpv0 vs. TdNcpv                   Qangio         2.445   0.491     1.757   0.203   -0.2440     0.687   0.53167124</t>
  </si>
  <si>
    <t>Ncpv1/Ncpv0 vs. TdNcpv                   Eta            2.950   0.262     1.405   0.036   -0.0951     0.510   0.38339717</t>
  </si>
  <si>
    <t>Cac1/Cac0 vs. TdCac                      Gamma          0.000   0.000     0.000   0.000       NaN     0.000   1.00000000</t>
  </si>
  <si>
    <t>Cac1/Cac0 vs. TdCac                      Theta          7.825   1.406     1.059   0.077    0.0004     3.252   0.99468373</t>
  </si>
  <si>
    <t>Cac1/Cac0 vs. TdCac                      BetaUZeta      4.281   0.479     1.020   0.027    0.0033     1.719   0.95488734</t>
  </si>
  <si>
    <t>Cac1/Cac0 vs. TdCac                      Beta           6.409   0.615     1.179   0.034   -0.0035     1.923   0.95131893</t>
  </si>
  <si>
    <t>Cac1/Cac0 vs. TdCac                      Zeta          -2.814   2.062     0.489   0.101   -0.0109     3.245   0.83938619</t>
  </si>
  <si>
    <t>Cac1/Cac0 vs. TdCac                      Omega          2.226   0.181     0.530   0.014    0.0165     0.911   0.83299053</t>
  </si>
  <si>
    <t>Cac1/Cac0 vs. TdCac                      Alpha          2.913   0.197     0.536   0.017    0.0223     0.928   0.79029186</t>
  </si>
  <si>
    <t>Cac1/Cac0 vs. TdCac                      Qangio         6.128   2.505     0.820   0.137    0.0164     3.502   0.78509623</t>
  </si>
  <si>
    <t>Cac1/Cac0 vs. TdCac                      Eta            4.493   0.641     1.341   0.037   -0.0312     1.247   0.56006633</t>
  </si>
  <si>
    <t xml:space="preserve"> TdCac  </t>
  </si>
  <si>
    <t xml:space="preserve"> Cac1/Cac0</t>
  </si>
  <si>
    <t>Cac1/Cac0 vs. TdCac   -- Eta</t>
  </si>
  <si>
    <t>Slope: -0.0312 N=17 R^2: 0.2870 p-value: 0.560066 y-int 1.4815</t>
  </si>
  <si>
    <t>Ncpv1/Ncpv0 vs. TdNcpv   -- Zeta</t>
  </si>
  <si>
    <t>Slope: -0.0178 N=12 R^2: 0.0743 p-value: 0.801219 y-int 1.4112</t>
  </si>
  <si>
    <t>Cac1/Cac0 vs. TdCac   -- Zeta</t>
  </si>
  <si>
    <t>Slope: -0.0109 N=12 R^2: 0.0494 p-value: 0.839386 y-int 0.4589</t>
  </si>
  <si>
    <t xml:space="preserve"> Cac0/Cac1</t>
  </si>
  <si>
    <t>Cac0/Cac1 vs. TdCac   -- Zeta</t>
  </si>
  <si>
    <t>Slope: -0.0153 N=12 R^2: 0.0826 p-value: 0.789786 y-int 0.4852</t>
  </si>
  <si>
    <t>Mean X</t>
  </si>
  <si>
    <t>Regression</t>
  </si>
  <si>
    <t>Cac0/Cac1 vs. TdCac</t>
  </si>
  <si>
    <t>cac1/cac0 vs TdCac  -- Theta</t>
  </si>
  <si>
    <t>Slope: NaN N=23 R^2: NaN p-value: NaN y-int NaN</t>
  </si>
  <si>
    <t xml:space="preserve"> TdCac </t>
  </si>
  <si>
    <t xml:space="preserve"> cac1/cac0</t>
  </si>
  <si>
    <t>Regression                                   Set              Mean X   moe X    Mean Y   moe Y     Slope       xSD      p-value</t>
  </si>
  <si>
    <t>Ncpv1/Ncpv0 vs. TdNcpv                       Zeta-12           3.916   1.095     1.341   0.072   -0.0178     1.724   0.80121905</t>
  </si>
  <si>
    <t>Ncpv1/Ncpv0 vs. TdNcpv                       Omega-97          2.580   0.068     1.795   0.018   -0.1035     0.340   0.67059389</t>
  </si>
  <si>
    <t>Ncpv1/Ncpv0 vs. TdNcpv                       Gamma-45          1.691   0.102     2.174   0.049   -0.1963     0.341   0.66116372</t>
  </si>
  <si>
    <t>Ncpv1/Ncpv0 vs. TdNcpv                       BetaUZeta-52      3.349   0.152     1.468   0.017   -0.0489     0.545   0.63405439</t>
  </si>
  <si>
    <t>Ncpv1/Ncpv0 vs. TdNcpv                       Alpha-85          2.391   0.067     1.859   0.021   -0.1404     0.310   0.62700814</t>
  </si>
  <si>
    <t>Ncpv1/Ncpv0 vs. TdNcpv                       Theta-23          3.347   0.362     1.579   0.049   -0.0723     0.837   0.55267777</t>
  </si>
  <si>
    <t>Ncpv1/Ncpv0 vs. TdNcpv                       Beta-40           3.178   0.166     1.505   0.023   -0.0741     0.518   0.53942816</t>
  </si>
  <si>
    <t>Ncpv1/Ncpv0 vs. TdNcpv                       Eta-17            2.950   0.262     1.405   0.036   -0.0951     0.510   0.38339717</t>
  </si>
  <si>
    <t>Ncpv1/Ncpv0 vs. TdNcpv    -- Gamma</t>
  </si>
  <si>
    <t>Slope: -0.1963 N=45 R^2: 0.1693 p-value: 0.661164 y-int 2.5058</t>
  </si>
  <si>
    <t xml:space="preserve"> TdNcpv   </t>
  </si>
  <si>
    <t>TdNcpv vs. RankA  -- Omega</t>
  </si>
  <si>
    <t>Slope: 0.0880 N=97 R^2: 0.5545 p-value: 0.272377 y-int -1.9983</t>
  </si>
  <si>
    <t xml:space="preserve"> RankA </t>
  </si>
  <si>
    <t xml:space="preserve"> TdNcpv</t>
  </si>
  <si>
    <t>TdNcpv vs. RankA                             Gamma-45         26.000   0.595     1.691   0.102    0.1130     1.980   0.39892691</t>
  </si>
  <si>
    <t>TdNcpv vs. RankA                             Theta-23         12.000   0.625     3.347   0.362    0.4216     1.446   0.32180907</t>
  </si>
  <si>
    <t>TdNcpv vs. RankA                             Alpha-85         46.000   0.581     2.391   0.067    0.0828     2.693   0.30928813</t>
  </si>
  <si>
    <t>TdNcpv vs. RankA                             Beta-40          20.500   0.599     3.178   0.166    0.2028     1.872   0.29974619</t>
  </si>
  <si>
    <t>TdNcpv vs. RankA                             Omega-97         52.000   0.579     2.580   0.068    0.0880     2.873   0.27237700</t>
  </si>
  <si>
    <t>TdNcpv vs. RankA                             BetaUZeta-52     26.500   0.591     3.349   0.152    0.2001     2.122   0.22866178</t>
  </si>
  <si>
    <t>TdNcpv vs. RankA                             Eta-17            9.000   0.649     2.950   0.262    0.3356     1.262   0.18112052</t>
  </si>
  <si>
    <t>TdNcpv vs. RankA                             Zeta-12           6.500   0.691     3.916   1.095    1.4192     1.087   0.09720331</t>
  </si>
  <si>
    <t>Calculated</t>
  </si>
  <si>
    <t>Subset Regr</t>
  </si>
  <si>
    <t>essions:</t>
  </si>
  <si>
    <t>0-0.2</t>
  </si>
  <si>
    <t>0.2-0.4</t>
  </si>
  <si>
    <t>0.4-0.6</t>
  </si>
  <si>
    <t>0.6-0.8</t>
  </si>
  <si>
    <t>0.8-1.0</t>
  </si>
  <si>
    <t>Cac1/Cac0 vs. TdCac</t>
  </si>
  <si>
    <t>Gamma-48</t>
  </si>
  <si>
    <t>BetaUZeta-43</t>
  </si>
  <si>
    <t>Zeta-9</t>
  </si>
  <si>
    <t>Omega-91</t>
  </si>
  <si>
    <t>Alpha-82</t>
  </si>
  <si>
    <t>Beta-34</t>
  </si>
  <si>
    <t>Theta-17</t>
  </si>
  <si>
    <t>Eta-17</t>
  </si>
  <si>
    <t>Ncpv1/Ncpv0 vs. TdNcpv</t>
  </si>
  <si>
    <t>Zeta-12</t>
  </si>
  <si>
    <t>Omega-97</t>
  </si>
  <si>
    <t>Gamma-45</t>
  </si>
  <si>
    <t>BetaUZeta-52</t>
  </si>
  <si>
    <t>Alpha-85</t>
  </si>
  <si>
    <t>Theta-23</t>
  </si>
  <si>
    <t>Beta-40</t>
  </si>
  <si>
    <t>QAngio1/QAngio0 vs. TdQAngio</t>
  </si>
  <si>
    <t>Omega-10</t>
  </si>
  <si>
    <t>BetaUZeta-9</t>
  </si>
  <si>
    <t>Alpha-9</t>
  </si>
  <si>
    <t>Beta-8</t>
  </si>
  <si>
    <t>Eta-6</t>
  </si>
  <si>
    <t>Insufficient Qangio data to do regressions for sets Theta, Zeta, or Gamma</t>
  </si>
  <si>
    <t>Although Time to double in the Omega data is 2.58 years  (Cleerly Ncpv) but is 3.73 years in Qangino, 1.4 x faster  in Cleerly</t>
  </si>
  <si>
    <t>λλ</t>
  </si>
  <si>
    <t>cac start</t>
  </si>
  <si>
    <t>cac end</t>
  </si>
  <si>
    <t>v2/v1</t>
  </si>
  <si>
    <t>Ln()</t>
  </si>
  <si>
    <t>delta t * ln(2)</t>
  </si>
  <si>
    <t>Time interval (t)</t>
  </si>
  <si>
    <t>Td  days</t>
  </si>
  <si>
    <t>Td in years</t>
  </si>
  <si>
    <t>Timeto double calculation</t>
  </si>
  <si>
    <t>Work</t>
  </si>
  <si>
    <t>Regression                                      Set              Mean X   moe X    Mean Y   moe Y     Slope    StdErr   xStdDev      p-value</t>
  </si>
  <si>
    <t>TdCac/DCac vs. GeoMeanTps/DCac  - BetaUZeta</t>
  </si>
  <si>
    <t>MeanX: 0.4149 moeX: 0.0351 StdDevX: 0.1142 Slope: 10.2520 StdErr: 6.3466 p-value: 0.113903 N=43</t>
  </si>
  <si>
    <t xml:space="preserve"> GeoMeanTps/DCac </t>
  </si>
  <si>
    <t xml:space="preserve"> TdCac/DCac</t>
  </si>
  <si>
    <t>TdCac/DCac vs. GeoMeanTps/DCac                  Gamma-48          0.000   0.000     0.000   0.000       NaN       NaN    0.0000   1.00000000</t>
  </si>
  <si>
    <t>TdCac/DCac vs. GeoMeanTps/DCac                  Eta-17            0.193   0.018     0.231   0.057    1.9966    2.6092    0.0350   0.45602540</t>
  </si>
  <si>
    <t>TdCac/DCac vs. GeoMeanTps/DCac                  Zeta-9           -0.022   0.063     0.760   0.450   -4.9929    5.8138    0.0819   0.41888178</t>
  </si>
  <si>
    <t>TdCac/DCac vs. GeoMeanTps/DCac                  BetaUZeta-43      0.415   0.035     2.390   0.421   10.2520    6.3466    0.1142   0.11390263</t>
  </si>
  <si>
    <t>TdCac/DCac vs. GeoMeanTps/DCac                  Omega-91          0.196   0.012     1.129   0.136    9.6004    6.0107    0.0576   0.11375973</t>
  </si>
  <si>
    <t>TdCac/DCac vs. GeoMeanTps/DCac                  Alpha-82          0.220   0.014     1.170   0.158    9.9855    5.6666    0.0630   0.08185837</t>
  </si>
  <si>
    <t>TdCac/DCac vs. GeoMeanTps/DCac                  Theta-17          0.868   0.129     5.412   1.765   12.3003    6.2732    0.2517   0.06874695</t>
  </si>
  <si>
    <t>TdCac/DCac vs. GeoMeanTps/DCac                  Beta-34           0.531   0.048     2.822   0.603   11.2669    5.8588    0.1369   0.06341021</t>
  </si>
  <si>
    <t>Ln(MinNcpv/DNcpv) vs. TdNcpv                    Zeta-12           3.916   1.095     0.313   0.052    0.0243    0.0448    1.7242  0.599491481</t>
  </si>
  <si>
    <t>Ln(MinNcpv/DNcpv) vs. TdNcpv                    Theta-23          3.347   0.362     0.195   0.015    0.0226    0.0374    0.8374  0.552276939</t>
  </si>
  <si>
    <t>Ln(MinNcpv/DNcpv) vs. TdNcpv                    BetaUZeta-52      3.349   0.152     0.203   0.008    0.0269    0.0426    0.5449  0.531048114</t>
  </si>
  <si>
    <t>Ln(MinNcpv/DNcpv) vs. TdNcpv                    Omega-95          2.634   0.070     0.255   0.006    0.0460    0.0718    0.3446  0.523155816</t>
  </si>
  <si>
    <t>Ln(MinNcpv/DNcpv) vs. TdNcpv                    Beta-40           3.178   0.166     0.171   0.008    0.0271    0.0395    0.5176  0.497210111</t>
  </si>
  <si>
    <t>Ln(MinNcpv/DNcpv) vs. TdNcpv                    Alpha-83          2.449   0.069     0.247   0.007    0.0578    0.0825    0.3150  0.485971694</t>
  </si>
  <si>
    <t>Ln(MinNcpv/DNcpv) vs. TdNcpv                    Eta-17            2.950   0.262     0.138   0.017    0.0473    0.0444    0.5099  0.304174491</t>
  </si>
  <si>
    <t>Ln(MinNcpv/DNcpv) vs. TdNcpv                    Gamma-43          1.770   0.108     0.317   0.017    0.1454    0.0577    0.3520  0.015692733</t>
  </si>
  <si>
    <t>Ln(MinNcpv/DNcpv) vs. TdNcpv  - Gamma</t>
  </si>
  <si>
    <t>MeanX: 1.7697 moeX: 0.1083 StdDevX: 0.3520 Slope: 0.1454 StdErr: 0.0577 p-value: 0.015693 N=43</t>
  </si>
  <si>
    <t xml:space="preserve"> TdNcpv </t>
  </si>
  <si>
    <t xml:space="preserve"> Ln(MinNcpv/DNcpv)</t>
  </si>
  <si>
    <t>TdCac vs. TdNcpv  - BetaUZeta</t>
  </si>
  <si>
    <t>MeanX: 3.5297 moeX: 0.1790 StdDevX: 0.5369 Slope: -0.6646 StdErr: 4.4930 p-value: 0.883257 N=37</t>
  </si>
  <si>
    <t xml:space="preserve"> TdCac</t>
  </si>
  <si>
    <t>TdCac vs. TdNcpv                                Eta-17            2.950   0.262     4.493   0.641    0.0059    2.6042    0.5099  0.998224505</t>
  </si>
  <si>
    <t>TdCac vs. TdNcpv                                Omega-37          3.530   0.179     6.016   0.791   -0.6646    4.4930    0.5369  0.883257022</t>
  </si>
  <si>
    <t>TdCac vs. TdNcpv                                BetaUZeta-37      3.530   0.179     6.016   0.791   -0.6646    4.4930    0.5369  0.883257022</t>
  </si>
  <si>
    <t>TdCac vs. TdNcpv                                Alpha-32          3.628   0.224     8.011   0.840   -0.7046    3.8103    0.6202  0.854535546</t>
  </si>
  <si>
    <t>TdCac vs. TdNcpv                                Beta-32           3.628   0.224     8.011   0.840   -0.7046    3.8103    0.6202  0.854535546</t>
  </si>
  <si>
    <t>TdCac vs. TdNcpv                                Theta-15          4.397   0.669    11.998   2.614   -1.2130    3.9874    1.2087  0.765790001</t>
  </si>
  <si>
    <t>TdCac vs. TdNcpv                                Zeta-5            2.901   0.400    -6.755  10.486  -20.6757   20.8499    0.3219  0.394472157</t>
  </si>
  <si>
    <t>TdTps vs. RankA  - Theta</t>
  </si>
  <si>
    <t>MeanY: 1.5409 moeY: 0.1296 StdDevY: 0.2040 Slope: 0.1604 StdErr: 0.1068 p-value: 0.163951 N=12</t>
  </si>
  <si>
    <t xml:space="preserve"> TdTps</t>
  </si>
  <si>
    <t>TdTps vs. RankA  - Omega</t>
  </si>
  <si>
    <t>MeanY: 1.4442 moeY: 0.1894 StdDevY: 0.4978 Slope: 0.2487 StdErr: 0.1906 p-value: 0.202983 N=29</t>
  </si>
  <si>
    <t>Regression                                      Set              Mean X   moe X    Mean Y   moe Y     Slope    StdErr   xStdDev   yStdDev      p-value</t>
  </si>
  <si>
    <t>TdCac vs. RankA  - Omega</t>
  </si>
  <si>
    <t>MeanY: 6.0159 moeY: 0.7912 StdDevY: 2.3730 Slope: 0.9598 StdErr: 0.9248 p-value: 0.306427 N=37</t>
  </si>
  <si>
    <t>TdCac vs. RankA                                 Eta-17            9.000   0.649     4.493   0.641    0.6748    0.7684    1.2624    1.2474  0.393741656</t>
  </si>
  <si>
    <t>TdCac vs. RankA                                 Alpha-32         22.500   0.607     8.011   0.840    0.9629    1.0246    1.6848    2.3294  0.354804194</t>
  </si>
  <si>
    <t>TdCac vs. RankA                                 Beta-32          22.500   0.607     8.011   0.840    0.9629    1.0246    1.6848    2.3294  0.354804194</t>
  </si>
  <si>
    <t>TdCac vs. RankA                                 Omega-37         28.000   0.602     6.016   0.791    0.9598    0.9248    1.8041    2.3730  0.306426610</t>
  </si>
  <si>
    <t>TdCac vs. RankA                                 BetaUZeta-37     28.000   0.602     6.016   0.791    0.9598    0.9248    1.8041    2.3730  0.306426610</t>
  </si>
  <si>
    <t>TdCac vs. RankA                                 Theta-15         14.000   0.662    11.998   2.614    3.2042    2.4800    1.1952    4.7203  0.218840263</t>
  </si>
  <si>
    <t>TdCac vs. RankA                                 Zeta-5            6.000   0.982    -6.755  10.486    9.5961    6.0590    0.7906    8.4451  0.211409561</t>
  </si>
  <si>
    <t>TdCac vs. Id  - Omega</t>
  </si>
  <si>
    <t>MeanX: 80.7027 moeX: 0.6730 StdDevX: 2.0184 Slope: 0.3004 StdErr: 1.1687 p-value: 0.798656 N=37</t>
  </si>
  <si>
    <t xml:space="preserve"> Id </t>
  </si>
  <si>
    <t>TdCac vs. Id                                    Eta-17           85.824   1.258     4.493   0.641    0.1013    0.5320    2.4467    1.2474  0.851594147</t>
  </si>
  <si>
    <t>TdCac vs. Id                                    Alpha-32         80.969   0.767     8.011   0.840    0.2477    1.1010    2.1283    2.3294  0.823527445</t>
  </si>
  <si>
    <t>TdCac vs. Id                                    Beta-32          80.969   0.767     8.011   0.840    0.2477    1.1010    2.1283    2.3294  0.823527445</t>
  </si>
  <si>
    <t>TdCac vs. Id                                    Omega-37         80.703   0.673     6.016   0.791    0.3004    1.1687    2.0184    2.3730  0.798655654</t>
  </si>
  <si>
    <t>TdCac vs. Id                                    BetaUZeta-37     80.703   0.673     6.016   0.791    0.3004    1.1687    2.0184    2.3730  0.798655654</t>
  </si>
  <si>
    <t>TdCac vs. Id                                    Zeta-5           79.000   9.364    -6.755  10.486    0.4199    1.3402    7.5416    8.4451  0.774564058</t>
  </si>
  <si>
    <t>TdCac vs. Id                                    Theta-15         75.467   1.754    11.998   2.614    0.7847    1.3613    3.1669    4.7203  0.574170564</t>
  </si>
  <si>
    <t>TdTps vs. Id  - Omega</t>
  </si>
  <si>
    <t>MeanX: 80.8276 moeX: 0.8012 StdDevX: 2.1063 Slope: 0.0116 StdErr: 0.2447 p-value: 0.962392 N=29</t>
  </si>
  <si>
    <t>TdTps vs. Id                                    Omega-29         80.828   0.801     1.444   0.189    0.0116    0.2447    2.1063    0.4978  0.962392017</t>
  </si>
  <si>
    <t>TdTps vs. Id                                    BetaUZeta-29     80.828   0.801     1.444   0.189    0.0116    0.2447    2.1063    0.4978  0.962392017</t>
  </si>
  <si>
    <t>TdTps vs. Id                                    Eta-11           86.455   1.533     3.080   0.477    0.1604    0.2946    2.2819    0.7098  0.599263456</t>
  </si>
  <si>
    <t>TdTps vs. Id                                    Alpha-23         81.391   0.931     2.277   0.163    0.1012    0.1500    2.1520    0.3776  0.507397977</t>
  </si>
  <si>
    <t>TdTps vs. Id                                    Beta-23          81.391   0.931     2.277   0.163    0.1012    0.1500    2.1520    0.3776  0.507397977</t>
  </si>
  <si>
    <t>TdTps vs. Id                                    Theta-12         76.750   1.984     1.541   0.130    0.0488    0.0476    3.1232    0.2040  0.330194686</t>
  </si>
  <si>
    <t>TdTps vs. Id                                    Zeta-6           78.667   7.275    -1.748   1.457   -0.1985    0.0329    6.9321    1.3886  0.00380054</t>
  </si>
  <si>
    <t>TdTps  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</si>
</sst>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6"/>
      <color theme="1"/>
      <name val="Aptos Display"/>
      <family val="2"/>
      <scheme val="major"/>
    </font>
    <font>
      <b/>
      <sz val="17.850000000000001"/>
      <color rgb="FF363737"/>
      <name val="Segoe UI"/>
      <family val="2"/>
    </font>
    <font>
      <sz val="11"/>
      <color rgb="FF363737"/>
      <name val="Segoe UI"/>
      <family val="2"/>
    </font>
    <font>
      <b/>
      <sz val="11"/>
      <color rgb="FF363737"/>
      <name val="Segoe UI"/>
      <family val="2"/>
    </font>
    <font>
      <i/>
      <sz val="11"/>
      <color rgb="FF363737"/>
      <name val="Segoe UI"/>
      <family val="2"/>
    </font>
    <font>
      <sz val="10"/>
      <color theme="1"/>
      <name val="Aptos Display"/>
      <family val="2"/>
      <scheme val="maj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rgb="FF363737"/>
      <name val="Aptos Narrow"/>
      <family val="2"/>
    </font>
    <font>
      <sz val="14"/>
      <color rgb="FF363737"/>
      <name val="Segoe UI"/>
      <family val="2"/>
    </font>
    <font>
      <sz val="11"/>
      <color theme="0"/>
      <name val="Segoe UI"/>
      <family val="2"/>
    </font>
    <font>
      <b/>
      <sz val="12"/>
      <color theme="2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/>
        <bgColor theme="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13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0" borderId="1" xfId="0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0" borderId="5" xfId="0" applyBorder="1"/>
    <xf numFmtId="0" fontId="0" fillId="0" borderId="6" xfId="0" applyBorder="1"/>
    <xf numFmtId="0" fontId="0" fillId="5" borderId="5" xfId="0" applyFill="1" applyBorder="1"/>
    <xf numFmtId="0" fontId="0" fillId="5" borderId="0" xfId="0" applyFill="1"/>
    <xf numFmtId="0" fontId="0" fillId="3" borderId="5" xfId="0" applyFill="1" applyBorder="1"/>
    <xf numFmtId="0" fontId="0" fillId="6" borderId="5" xfId="0" applyFill="1" applyBorder="1"/>
    <xf numFmtId="0" fontId="0" fillId="6" borderId="0" xfId="0" applyFill="1"/>
    <xf numFmtId="0" fontId="0" fillId="2" borderId="5" xfId="0" applyFill="1" applyBorder="1"/>
    <xf numFmtId="0" fontId="0" fillId="7" borderId="0" xfId="0" applyFill="1"/>
    <xf numFmtId="164" fontId="0" fillId="7" borderId="0" xfId="0" applyNumberFormat="1" applyFill="1"/>
    <xf numFmtId="0" fontId="0" fillId="0" borderId="7" xfId="0" applyBorder="1"/>
    <xf numFmtId="0" fontId="0" fillId="0" borderId="8" xfId="0" applyBorder="1"/>
    <xf numFmtId="0" fontId="2" fillId="4" borderId="9" xfId="0" applyFont="1" applyFill="1" applyBorder="1"/>
    <xf numFmtId="0" fontId="0" fillId="0" borderId="10" xfId="0" applyBorder="1"/>
    <xf numFmtId="0" fontId="0" fillId="0" borderId="11" xfId="0" applyBorder="1"/>
    <xf numFmtId="164" fontId="0" fillId="5" borderId="0" xfId="0" applyNumberFormat="1" applyFill="1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10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10" fillId="8" borderId="1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0" fillId="9" borderId="0" xfId="0" applyFill="1"/>
    <xf numFmtId="0" fontId="5" fillId="7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0" fillId="10" borderId="0" xfId="0" applyFill="1"/>
    <xf numFmtId="0" fontId="13" fillId="0" borderId="0" xfId="0" applyFont="1" applyAlignment="1">
      <alignment horizontal="left" vertical="center"/>
    </xf>
    <xf numFmtId="0" fontId="1" fillId="2" borderId="0" xfId="0" applyFont="1" applyFill="1"/>
    <xf numFmtId="0" fontId="1" fillId="3" borderId="0" xfId="0" applyFont="1" applyFill="1"/>
    <xf numFmtId="0" fontId="1" fillId="7" borderId="0" xfId="0" applyFont="1" applyFill="1"/>
    <xf numFmtId="0" fontId="1" fillId="5" borderId="0" xfId="0" applyFont="1" applyFill="1"/>
    <xf numFmtId="0" fontId="14" fillId="4" borderId="16" xfId="0" applyFont="1" applyFill="1" applyBorder="1"/>
    <xf numFmtId="0" fontId="14" fillId="4" borderId="13" xfId="0" applyFont="1" applyFill="1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10" fillId="12" borderId="0" xfId="0" applyFont="1" applyFill="1"/>
    <xf numFmtId="0" fontId="10" fillId="12" borderId="0" xfId="0" applyFont="1" applyFill="1" applyAlignment="1">
      <alignment horizontal="left"/>
    </xf>
    <xf numFmtId="0" fontId="0" fillId="0" borderId="18" xfId="0" applyBorder="1"/>
    <xf numFmtId="0" fontId="0" fillId="0" borderId="19" xfId="0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0" fillId="13" borderId="25" xfId="0" applyFont="1" applyFill="1" applyBorder="1"/>
    <xf numFmtId="0" fontId="10" fillId="13" borderId="0" xfId="0" applyFont="1" applyFill="1"/>
    <xf numFmtId="0" fontId="0" fillId="0" borderId="27" xfId="0" applyBorder="1"/>
    <xf numFmtId="164" fontId="1" fillId="0" borderId="0" xfId="0" applyNumberFormat="1" applyFont="1"/>
    <xf numFmtId="164" fontId="0" fillId="0" borderId="27" xfId="0" applyNumberFormat="1" applyBorder="1"/>
    <xf numFmtId="0" fontId="0" fillId="0" borderId="26" xfId="0" applyBorder="1"/>
    <xf numFmtId="164" fontId="0" fillId="0" borderId="26" xfId="0" applyNumberFormat="1" applyBorder="1"/>
    <xf numFmtId="0" fontId="0" fillId="14" borderId="0" xfId="0" applyFill="1"/>
    <xf numFmtId="0" fontId="0" fillId="15" borderId="0" xfId="0" applyFill="1"/>
    <xf numFmtId="165" fontId="0" fillId="0" borderId="0" xfId="0" applyNumberFormat="1"/>
    <xf numFmtId="165" fontId="0" fillId="15" borderId="0" xfId="0" applyNumberFormat="1" applyFill="1"/>
    <xf numFmtId="165" fontId="0" fillId="0" borderId="27" xfId="0" applyNumberFormat="1" applyBorder="1"/>
    <xf numFmtId="0" fontId="14" fillId="0" borderId="0" xfId="0" applyFont="1"/>
    <xf numFmtId="0" fontId="0" fillId="0" borderId="12" xfId="0" applyBorder="1"/>
    <xf numFmtId="0" fontId="0" fillId="0" borderId="30" xfId="0" applyBorder="1"/>
    <xf numFmtId="0" fontId="15" fillId="11" borderId="28" xfId="0" applyFont="1" applyFill="1" applyBorder="1"/>
    <xf numFmtId="0" fontId="15" fillId="11" borderId="15" xfId="0" applyFont="1" applyFill="1" applyBorder="1"/>
    <xf numFmtId="0" fontId="1" fillId="11" borderId="29" xfId="0" applyFont="1" applyFill="1" applyBorder="1"/>
    <xf numFmtId="0" fontId="1" fillId="11" borderId="0" xfId="0" applyFont="1" applyFill="1"/>
    <xf numFmtId="165" fontId="0" fillId="2" borderId="0" xfId="0" applyNumberFormat="1" applyFill="1"/>
    <xf numFmtId="165" fontId="0" fillId="6" borderId="0" xfId="0" applyNumberFormat="1" applyFill="1"/>
    <xf numFmtId="165" fontId="0" fillId="5" borderId="0" xfId="0" applyNumberFormat="1" applyFill="1"/>
    <xf numFmtId="0" fontId="16" fillId="0" borderId="0" xfId="0" applyFont="1"/>
    <xf numFmtId="0" fontId="18" fillId="16" borderId="0" xfId="0" applyFont="1" applyFill="1"/>
    <xf numFmtId="0" fontId="18" fillId="0" borderId="0" xfId="0" applyFont="1"/>
    <xf numFmtId="0" fontId="18" fillId="0" borderId="31" xfId="0" applyFont="1" applyBorder="1"/>
    <xf numFmtId="0" fontId="17" fillId="0" borderId="32" xfId="0" applyFont="1" applyBorder="1"/>
    <xf numFmtId="0" fontId="18" fillId="16" borderId="32" xfId="0" applyFont="1" applyFill="1" applyBorder="1"/>
    <xf numFmtId="4" fontId="18" fillId="0" borderId="0" xfId="0" applyNumberFormat="1" applyFont="1"/>
    <xf numFmtId="4" fontId="18" fillId="16" borderId="0" xfId="0" applyNumberFormat="1" applyFont="1" applyFill="1"/>
    <xf numFmtId="4" fontId="18" fillId="0" borderId="31" xfId="0" applyNumberFormat="1" applyFont="1" applyBorder="1"/>
    <xf numFmtId="0" fontId="3" fillId="0" borderId="0" xfId="0" applyFont="1" applyAlignment="1">
      <alignment vertical="top"/>
    </xf>
    <xf numFmtId="0" fontId="0" fillId="0" borderId="0" xfId="0"/>
    <xf numFmtId="0" fontId="8" fillId="0" borderId="0" xfId="0" applyFont="1" applyAlignment="1">
      <alignment vertical="top"/>
    </xf>
    <xf numFmtId="0" fontId="10" fillId="17" borderId="33" xfId="0" applyFont="1" applyFill="1" applyBorder="1"/>
    <xf numFmtId="0" fontId="0" fillId="0" borderId="33" xfId="0" applyFont="1" applyBorder="1"/>
    <xf numFmtId="0" fontId="0" fillId="0" borderId="35" xfId="0" applyFont="1" applyBorder="1"/>
    <xf numFmtId="166" fontId="10" fillId="17" borderId="34" xfId="0" applyNumberFormat="1" applyFont="1" applyFill="1" applyBorder="1"/>
    <xf numFmtId="2" fontId="0" fillId="0" borderId="34" xfId="0" applyNumberFormat="1" applyFont="1" applyBorder="1"/>
    <xf numFmtId="2" fontId="0" fillId="0" borderId="36" xfId="0" applyNumberFormat="1" applyFont="1" applyBorder="1"/>
    <xf numFmtId="2" fontId="0" fillId="0" borderId="0" xfId="0" applyNumberFormat="1"/>
    <xf numFmtId="1" fontId="0" fillId="0" borderId="0" xfId="0" applyNumberFormat="1"/>
    <xf numFmtId="0" fontId="0" fillId="0" borderId="0" xfId="0" applyFont="1" applyFill="1" applyBorder="1"/>
    <xf numFmtId="2" fontId="0" fillId="0" borderId="0" xfId="0" applyNumberFormat="1" applyFont="1" applyFill="1" applyBorder="1"/>
    <xf numFmtId="1" fontId="0" fillId="0" borderId="0" xfId="0" applyNumberFormat="1" applyFont="1" applyFill="1" applyBorder="1"/>
    <xf numFmtId="0" fontId="19" fillId="0" borderId="0" xfId="0" applyFont="1" applyFill="1" applyBorder="1"/>
    <xf numFmtId="2" fontId="19" fillId="0" borderId="0" xfId="0" applyNumberFormat="1" applyFont="1" applyFill="1" applyBorder="1"/>
    <xf numFmtId="1" fontId="19" fillId="0" borderId="0" xfId="0" applyNumberFormat="1" applyFont="1" applyFill="1" applyBorder="1"/>
    <xf numFmtId="166" fontId="19" fillId="0" borderId="0" xfId="0" applyNumberFormat="1" applyFont="1" applyFill="1" applyBorder="1"/>
  </cellXfs>
  <cellStyles count="1"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right style="thin">
          <color theme="4"/>
        </right>
      </border>
    </dxf>
    <dxf>
      <numFmt numFmtId="164" formatCode="0.00000"/>
    </dxf>
    <dxf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right style="thin">
          <color theme="8"/>
        </right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737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numFmt numFmtId="164" formatCode="0.000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0.000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67FD99"/>
      <color rgb="FFE2A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/>
              <a:t>Keto-CTA SubSet Divisions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070-4D3A-97E5-9D6413DB2650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70-4D3A-97E5-9D6413DB2650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70-4D3A-97E5-9D6413DB265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70-4D3A-97E5-9D6413DB2650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Stats'!$A$46:$A$49</c:f>
              <c:strCache>
                <c:ptCount val="4"/>
                <c:pt idx="0">
                  <c:v>ζ Zeta</c:v>
                </c:pt>
                <c:pt idx="1">
                  <c:v>γ Gamma</c:v>
                </c:pt>
                <c:pt idx="2">
                  <c:v>θ Theta</c:v>
                </c:pt>
                <c:pt idx="3">
                  <c:v>η Eta</c:v>
                </c:pt>
              </c:strCache>
            </c:strRef>
          </c:cat>
          <c:val>
            <c:numRef>
              <c:f>'Basic Stats'!$B$46:$B$49</c:f>
              <c:numCache>
                <c:formatCode>General</c:formatCode>
                <c:ptCount val="4"/>
                <c:pt idx="0">
                  <c:v>12</c:v>
                </c:pt>
                <c:pt idx="1">
                  <c:v>48</c:v>
                </c:pt>
                <c:pt idx="2">
                  <c:v>23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0-4D3A-97E5-9D6413DB265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TdCac/DCac vs. GeoMeanTps/DCac  - BetaUZeta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 TdCac/DCac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Sheet4!$B$16:$B$40</c:f>
              <c:numCache>
                <c:formatCode>General</c:formatCode>
                <c:ptCount val="25"/>
                <c:pt idx="0">
                  <c:v>0.52704627669472903</c:v>
                </c:pt>
                <c:pt idx="1">
                  <c:v>0.48989794855663499</c:v>
                </c:pt>
                <c:pt idx="2">
                  <c:v>0.41573970964154899</c:v>
                </c:pt>
                <c:pt idx="3">
                  <c:v>0.24494897427831699</c:v>
                </c:pt>
                <c:pt idx="4">
                  <c:v>0.43301270189221902</c:v>
                </c:pt>
                <c:pt idx="5">
                  <c:v>0.21650635094610901</c:v>
                </c:pt>
                <c:pt idx="6">
                  <c:v>0.15971914124998399</c:v>
                </c:pt>
                <c:pt idx="7">
                  <c:v>0.148148148148148</c:v>
                </c:pt>
                <c:pt idx="8">
                  <c:v>0.24494897427831699</c:v>
                </c:pt>
                <c:pt idx="9">
                  <c:v>0.14426245016127601</c:v>
                </c:pt>
                <c:pt idx="10">
                  <c:v>0.225806451612903</c:v>
                </c:pt>
                <c:pt idx="11">
                  <c:v>0.25</c:v>
                </c:pt>
                <c:pt idx="12">
                  <c:v>0.38544964466377202</c:v>
                </c:pt>
                <c:pt idx="13">
                  <c:v>7.1428571428571397E-2</c:v>
                </c:pt>
                <c:pt idx="14">
                  <c:v>0.48989794855663499</c:v>
                </c:pt>
                <c:pt idx="15">
                  <c:v>-7.4432292756478696E-2</c:v>
                </c:pt>
                <c:pt idx="16">
                  <c:v>0.113929755478287</c:v>
                </c:pt>
                <c:pt idx="17">
                  <c:v>0.171894017037416</c:v>
                </c:pt>
                <c:pt idx="18">
                  <c:v>0.124721912892464</c:v>
                </c:pt>
                <c:pt idx="19">
                  <c:v>0.11174521339154</c:v>
                </c:pt>
                <c:pt idx="20">
                  <c:v>0.24845199749997601</c:v>
                </c:pt>
                <c:pt idx="21">
                  <c:v>8.3333333333333301E-2</c:v>
                </c:pt>
                <c:pt idx="22">
                  <c:v>0.115384615384615</c:v>
                </c:pt>
                <c:pt idx="23">
                  <c:v>6.9282032302754995E-2</c:v>
                </c:pt>
                <c:pt idx="24">
                  <c:v>3.7735849056603703E-2</c:v>
                </c:pt>
              </c:numCache>
            </c:numRef>
          </c:xVal>
          <c:yVal>
            <c:numRef>
              <c:f>Sheet4!$C$16:$C$40</c:f>
              <c:numCache>
                <c:formatCode>General</c:formatCode>
                <c:ptCount val="25"/>
                <c:pt idx="0">
                  <c:v>0.45185591496501698</c:v>
                </c:pt>
                <c:pt idx="1">
                  <c:v>0.39800968052952901</c:v>
                </c:pt>
                <c:pt idx="2">
                  <c:v>0.39332501368916301</c:v>
                </c:pt>
                <c:pt idx="3">
                  <c:v>0.30366742927129098</c:v>
                </c:pt>
                <c:pt idx="4">
                  <c:v>0.25</c:v>
                </c:pt>
                <c:pt idx="5">
                  <c:v>0.24032653095546799</c:v>
                </c:pt>
                <c:pt idx="6">
                  <c:v>0.20398056720791699</c:v>
                </c:pt>
                <c:pt idx="7">
                  <c:v>0.194159736782263</c:v>
                </c:pt>
                <c:pt idx="8">
                  <c:v>0.17797429696227601</c:v>
                </c:pt>
                <c:pt idx="9">
                  <c:v>0.171059797042657</c:v>
                </c:pt>
                <c:pt idx="10">
                  <c:v>0.154444248884265</c:v>
                </c:pt>
                <c:pt idx="11">
                  <c:v>0.147406198104922</c:v>
                </c:pt>
                <c:pt idx="12">
                  <c:v>0.134708973806798</c:v>
                </c:pt>
                <c:pt idx="13">
                  <c:v>0.11852128528832701</c:v>
                </c:pt>
                <c:pt idx="14">
                  <c:v>0.110658951133022</c:v>
                </c:pt>
                <c:pt idx="15">
                  <c:v>9.1920240723312702E-2</c:v>
                </c:pt>
                <c:pt idx="16">
                  <c:v>8.6909844224222099E-2</c:v>
                </c:pt>
                <c:pt idx="17">
                  <c:v>6.24184863962099E-2</c:v>
                </c:pt>
                <c:pt idx="18">
                  <c:v>6.16252577986212E-2</c:v>
                </c:pt>
                <c:pt idx="19">
                  <c:v>5.8068365998309703E-2</c:v>
                </c:pt>
                <c:pt idx="20">
                  <c:v>5.3325474829198999E-2</c:v>
                </c:pt>
                <c:pt idx="21">
                  <c:v>4.58590258312251E-2</c:v>
                </c:pt>
                <c:pt idx="22">
                  <c:v>2.62957908832866E-2</c:v>
                </c:pt>
                <c:pt idx="23">
                  <c:v>2.0864193374409899E-2</c:v>
                </c:pt>
                <c:pt idx="24">
                  <c:v>1.0121811677936901E-2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3-403F-883E-0C242A5F8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537839"/>
        <c:axId val="324535439"/>
      </c:scatterChart>
      <c:valAx>
        <c:axId val="32453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35439"/>
        <c:crosses val="autoZero"/>
        <c:crossBetween val="midCat"/>
      </c:valAx>
      <c:valAx>
        <c:axId val="32453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3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Ln(MinNcpv/DNcpv) vs. TdNcpv  - Gamma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Sheet4!$P$3</c:f>
              <c:strCache>
                <c:ptCount val="1"/>
                <c:pt idx="0">
                  <c:v> Ln(MinNcpv/DNcpv)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Sheet4!$O$4:$O$46</c:f>
              <c:numCache>
                <c:formatCode>General</c:formatCode>
                <c:ptCount val="43"/>
                <c:pt idx="0">
                  <c:v>13.513407333964899</c:v>
                </c:pt>
                <c:pt idx="1">
                  <c:v>5.4883738584803696</c:v>
                </c:pt>
                <c:pt idx="2">
                  <c:v>7.0702154994970599</c:v>
                </c:pt>
                <c:pt idx="3">
                  <c:v>4.7048940953586698</c:v>
                </c:pt>
                <c:pt idx="4">
                  <c:v>2.9902603714766598</c:v>
                </c:pt>
                <c:pt idx="5">
                  <c:v>1.2555454209550201</c:v>
                </c:pt>
                <c:pt idx="6">
                  <c:v>0.58268028285003703</c:v>
                </c:pt>
                <c:pt idx="7">
                  <c:v>1.6216092786808101</c:v>
                </c:pt>
                <c:pt idx="8">
                  <c:v>0.69086586625928403</c:v>
                </c:pt>
                <c:pt idx="9">
                  <c:v>0.5</c:v>
                </c:pt>
                <c:pt idx="10">
                  <c:v>1.7780308680017001</c:v>
                </c:pt>
                <c:pt idx="11">
                  <c:v>1.0689930831830301</c:v>
                </c:pt>
                <c:pt idx="12">
                  <c:v>0.74188197315272697</c:v>
                </c:pt>
                <c:pt idx="13">
                  <c:v>1.4952285205156799</c:v>
                </c:pt>
                <c:pt idx="14">
                  <c:v>1.8360039553221701</c:v>
                </c:pt>
                <c:pt idx="15">
                  <c:v>2.0022247538746898</c:v>
                </c:pt>
                <c:pt idx="16">
                  <c:v>1.3534766599671799</c:v>
                </c:pt>
                <c:pt idx="17">
                  <c:v>0.42773984632091899</c:v>
                </c:pt>
                <c:pt idx="18">
                  <c:v>0.46718466342889597</c:v>
                </c:pt>
                <c:pt idx="19">
                  <c:v>0.98480442772704402</c:v>
                </c:pt>
                <c:pt idx="20">
                  <c:v>1.1219645718307201</c:v>
                </c:pt>
                <c:pt idx="21">
                  <c:v>0.56006862334195295</c:v>
                </c:pt>
                <c:pt idx="22">
                  <c:v>1.4011571585570699</c:v>
                </c:pt>
                <c:pt idx="23">
                  <c:v>3.0239042243240601</c:v>
                </c:pt>
                <c:pt idx="24">
                  <c:v>0.56529289898435398</c:v>
                </c:pt>
                <c:pt idx="25">
                  <c:v>2.05813092065369</c:v>
                </c:pt>
                <c:pt idx="26">
                  <c:v>1.33098921793891</c:v>
                </c:pt>
                <c:pt idx="27">
                  <c:v>1.6964970459034301</c:v>
                </c:pt>
                <c:pt idx="28">
                  <c:v>0.54477708579998796</c:v>
                </c:pt>
                <c:pt idx="29">
                  <c:v>1.10069142891592</c:v>
                </c:pt>
                <c:pt idx="30">
                  <c:v>0.96818108314798801</c:v>
                </c:pt>
                <c:pt idx="31">
                  <c:v>1.36576860051204</c:v>
                </c:pt>
                <c:pt idx="32">
                  <c:v>0.96594946309006002</c:v>
                </c:pt>
                <c:pt idx="33">
                  <c:v>1.4934633087510301</c:v>
                </c:pt>
                <c:pt idx="34">
                  <c:v>0.50183289462069203</c:v>
                </c:pt>
                <c:pt idx="35">
                  <c:v>0.75794924810075204</c:v>
                </c:pt>
                <c:pt idx="36">
                  <c:v>0.88666460315957996</c:v>
                </c:pt>
                <c:pt idx="37">
                  <c:v>0.54839523675007995</c:v>
                </c:pt>
                <c:pt idx="38">
                  <c:v>0.70432789243838301</c:v>
                </c:pt>
                <c:pt idx="39">
                  <c:v>0.59516115757053301</c:v>
                </c:pt>
                <c:pt idx="40">
                  <c:v>1.5840298982876999</c:v>
                </c:pt>
                <c:pt idx="41">
                  <c:v>1.2386126258466601</c:v>
                </c:pt>
                <c:pt idx="42">
                  <c:v>0.50836634313100004</c:v>
                </c:pt>
              </c:numCache>
            </c:numRef>
          </c:xVal>
          <c:yVal>
            <c:numRef>
              <c:f>Sheet4!$P$4:$P$46</c:f>
              <c:numCache>
                <c:formatCode>General</c:formatCode>
                <c:ptCount val="43"/>
                <c:pt idx="0">
                  <c:v>2.20245416386603</c:v>
                </c:pt>
                <c:pt idx="1">
                  <c:v>1.03710286936914</c:v>
                </c:pt>
                <c:pt idx="2">
                  <c:v>0.86230320874935995</c:v>
                </c:pt>
                <c:pt idx="3">
                  <c:v>0.71476791073249502</c:v>
                </c:pt>
                <c:pt idx="4">
                  <c:v>0.47687047615817102</c:v>
                </c:pt>
                <c:pt idx="5">
                  <c:v>0.450281064967611</c:v>
                </c:pt>
                <c:pt idx="6">
                  <c:v>0.43071987927183703</c:v>
                </c:pt>
                <c:pt idx="7">
                  <c:v>0.35585774656590802</c:v>
                </c:pt>
                <c:pt idx="8">
                  <c:v>0.33929845126619201</c:v>
                </c:pt>
                <c:pt idx="9">
                  <c:v>0.33844839669300403</c:v>
                </c:pt>
                <c:pt idx="10">
                  <c:v>0.33589402159097298</c:v>
                </c:pt>
                <c:pt idx="11">
                  <c:v>0.32378595108228198</c:v>
                </c:pt>
                <c:pt idx="12">
                  <c:v>0.31324617947098699</c:v>
                </c:pt>
                <c:pt idx="13">
                  <c:v>0.30254721807623502</c:v>
                </c:pt>
                <c:pt idx="14">
                  <c:v>0.28034561425799298</c:v>
                </c:pt>
                <c:pt idx="15">
                  <c:v>0.27870832873270301</c:v>
                </c:pt>
                <c:pt idx="16">
                  <c:v>0.27679758218377398</c:v>
                </c:pt>
                <c:pt idx="17">
                  <c:v>0.27519367185629201</c:v>
                </c:pt>
                <c:pt idx="18">
                  <c:v>0.27462152778238402</c:v>
                </c:pt>
                <c:pt idx="19">
                  <c:v>0.27329074419430399</c:v>
                </c:pt>
                <c:pt idx="20">
                  <c:v>0.26222302302371697</c:v>
                </c:pt>
                <c:pt idx="21">
                  <c:v>0.25039672633785198</c:v>
                </c:pt>
                <c:pt idx="22">
                  <c:v>0.242974413658405</c:v>
                </c:pt>
                <c:pt idx="23">
                  <c:v>0.23255927948178801</c:v>
                </c:pt>
                <c:pt idx="24">
                  <c:v>0.217948019549455</c:v>
                </c:pt>
                <c:pt idx="25">
                  <c:v>0.20547525739765601</c:v>
                </c:pt>
                <c:pt idx="26">
                  <c:v>0.20459606275530501</c:v>
                </c:pt>
                <c:pt idx="27">
                  <c:v>0.17692594089590999</c:v>
                </c:pt>
                <c:pt idx="28">
                  <c:v>0.17462497971266899</c:v>
                </c:pt>
                <c:pt idx="29">
                  <c:v>0.16908241401316801</c:v>
                </c:pt>
                <c:pt idx="30">
                  <c:v>0.15536499970166101</c:v>
                </c:pt>
                <c:pt idx="31">
                  <c:v>0.12881570886624799</c:v>
                </c:pt>
                <c:pt idx="32">
                  <c:v>0.12864896308850701</c:v>
                </c:pt>
                <c:pt idx="33">
                  <c:v>0.11865073997004499</c:v>
                </c:pt>
                <c:pt idx="34">
                  <c:v>0.118124364514713</c:v>
                </c:pt>
                <c:pt idx="35">
                  <c:v>0.113896097356231</c:v>
                </c:pt>
                <c:pt idx="36">
                  <c:v>9.6290164398109196E-2</c:v>
                </c:pt>
                <c:pt idx="37">
                  <c:v>9.30140813990048E-2</c:v>
                </c:pt>
                <c:pt idx="38">
                  <c:v>9.1931757504583503E-2</c:v>
                </c:pt>
                <c:pt idx="39">
                  <c:v>8.7304723866254097E-2</c:v>
                </c:pt>
                <c:pt idx="40">
                  <c:v>8.7252582059001896E-2</c:v>
                </c:pt>
                <c:pt idx="41">
                  <c:v>7.7183498878920995E-2</c:v>
                </c:pt>
                <c:pt idx="42">
                  <c:v>5.8390303297303901E-2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9-4790-91BF-F369431D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617455"/>
        <c:axId val="972626575"/>
      </c:scatterChart>
      <c:valAx>
        <c:axId val="97261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6575"/>
        <c:crosses val="autoZero"/>
        <c:crossBetween val="midCat"/>
      </c:valAx>
      <c:valAx>
        <c:axId val="97262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1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TdCac vs. TdNcpv  - BetaUZeta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Sheet4!$AB$3</c:f>
              <c:strCache>
                <c:ptCount val="1"/>
                <c:pt idx="0">
                  <c:v> TdCac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Sheet4!$AA$4:$AA$40</c:f>
              <c:numCache>
                <c:formatCode>General</c:formatCode>
                <c:ptCount val="37"/>
                <c:pt idx="0">
                  <c:v>0.93356645079507306</c:v>
                </c:pt>
                <c:pt idx="1">
                  <c:v>0.96976665571058895</c:v>
                </c:pt>
                <c:pt idx="2">
                  <c:v>1.0266371224975599</c:v>
                </c:pt>
                <c:pt idx="3">
                  <c:v>1.1859527754741701</c:v>
                </c:pt>
                <c:pt idx="4">
                  <c:v>1.5214245616098601</c:v>
                </c:pt>
                <c:pt idx="5">
                  <c:v>1.6475077626477199</c:v>
                </c:pt>
                <c:pt idx="6">
                  <c:v>1.6703211594615599</c:v>
                </c:pt>
                <c:pt idx="7">
                  <c:v>1.77096800717088</c:v>
                </c:pt>
                <c:pt idx="8">
                  <c:v>1.82693860112379</c:v>
                </c:pt>
                <c:pt idx="9">
                  <c:v>1.8904726185289</c:v>
                </c:pt>
                <c:pt idx="10">
                  <c:v>2.0565490951229899</c:v>
                </c:pt>
                <c:pt idx="11">
                  <c:v>2.1462626022611202</c:v>
                </c:pt>
                <c:pt idx="12">
                  <c:v>2.1843899546479801</c:v>
                </c:pt>
                <c:pt idx="13">
                  <c:v>2.19341642216351</c:v>
                </c:pt>
                <c:pt idx="14">
                  <c:v>2.2890908892788602</c:v>
                </c:pt>
                <c:pt idx="15">
                  <c:v>2.3328494051809101</c:v>
                </c:pt>
                <c:pt idx="16">
                  <c:v>2.36939090062645</c:v>
                </c:pt>
                <c:pt idx="17">
                  <c:v>2.4739247953910399</c:v>
                </c:pt>
                <c:pt idx="18">
                  <c:v>2.5387141651918199</c:v>
                </c:pt>
                <c:pt idx="19">
                  <c:v>2.61924183178817</c:v>
                </c:pt>
                <c:pt idx="20">
                  <c:v>2.6644995105181399</c:v>
                </c:pt>
                <c:pt idx="21">
                  <c:v>2.7347921573965901</c:v>
                </c:pt>
                <c:pt idx="22">
                  <c:v>2.92758440395093</c:v>
                </c:pt>
                <c:pt idx="23">
                  <c:v>2.9692156844279798</c:v>
                </c:pt>
                <c:pt idx="24">
                  <c:v>3.1840236711562202</c:v>
                </c:pt>
                <c:pt idx="25">
                  <c:v>3.75465903074095</c:v>
                </c:pt>
                <c:pt idx="26">
                  <c:v>3.8084673440058698</c:v>
                </c:pt>
                <c:pt idx="27">
                  <c:v>4.0334369756325703</c:v>
                </c:pt>
                <c:pt idx="28">
                  <c:v>4.3470310224889204</c:v>
                </c:pt>
                <c:pt idx="29">
                  <c:v>4.3662567411801296</c:v>
                </c:pt>
                <c:pt idx="30">
                  <c:v>4.5355219587329003</c:v>
                </c:pt>
                <c:pt idx="31">
                  <c:v>4.9993848679869499</c:v>
                </c:pt>
                <c:pt idx="32">
                  <c:v>5.3231125207409598</c:v>
                </c:pt>
                <c:pt idx="33">
                  <c:v>7.1455288125570897</c:v>
                </c:pt>
                <c:pt idx="34">
                  <c:v>7.9733175890349104</c:v>
                </c:pt>
                <c:pt idx="35">
                  <c:v>9.2166142723996796</c:v>
                </c:pt>
                <c:pt idx="36">
                  <c:v>18.969584471277301</c:v>
                </c:pt>
              </c:numCache>
            </c:numRef>
          </c:xVal>
          <c:yVal>
            <c:numRef>
              <c:f>Sheet4!$AB$4:$AB$40</c:f>
              <c:numCache>
                <c:formatCode>General</c:formatCode>
                <c:ptCount val="37"/>
                <c:pt idx="0">
                  <c:v>1.6509249299241</c:v>
                </c:pt>
                <c:pt idx="1">
                  <c:v>3.8452244952874901</c:v>
                </c:pt>
                <c:pt idx="2">
                  <c:v>11.260086185313799</c:v>
                </c:pt>
                <c:pt idx="3">
                  <c:v>35.349373586093698</c:v>
                </c:pt>
                <c:pt idx="4">
                  <c:v>4.9925448702448296</c:v>
                </c:pt>
                <c:pt idx="5">
                  <c:v>2.1458240757226399</c:v>
                </c:pt>
                <c:pt idx="6">
                  <c:v>55.797630484028602</c:v>
                </c:pt>
                <c:pt idx="7">
                  <c:v>5.2423128931211203</c:v>
                </c:pt>
                <c:pt idx="8">
                  <c:v>5.3028537083223801</c:v>
                </c:pt>
                <c:pt idx="9">
                  <c:v>2.0510716888963598</c:v>
                </c:pt>
                <c:pt idx="10">
                  <c:v>3.6975154679172699</c:v>
                </c:pt>
                <c:pt idx="11">
                  <c:v>1.7095112913514501</c:v>
                </c:pt>
                <c:pt idx="12">
                  <c:v>3.5578537245839601</c:v>
                </c:pt>
                <c:pt idx="13">
                  <c:v>1.0432096687204899</c:v>
                </c:pt>
                <c:pt idx="14">
                  <c:v>0.55329475566511199</c:v>
                </c:pt>
                <c:pt idx="15">
                  <c:v>4.7148140832379299</c:v>
                </c:pt>
                <c:pt idx="16">
                  <c:v>1.3569154488567201</c:v>
                </c:pt>
                <c:pt idx="17">
                  <c:v>22.756573062773501</c:v>
                </c:pt>
                <c:pt idx="18">
                  <c:v>-1.74648457374294</c:v>
                </c:pt>
                <c:pt idx="19">
                  <c:v>4.7877717154122301</c:v>
                </c:pt>
                <c:pt idx="20">
                  <c:v>0.95985854692558203</c:v>
                </c:pt>
                <c:pt idx="21">
                  <c:v>5.42227097958021</c:v>
                </c:pt>
                <c:pt idx="22">
                  <c:v>41.241286430664502</c:v>
                </c:pt>
                <c:pt idx="23">
                  <c:v>7.0798502464049404</c:v>
                </c:pt>
                <c:pt idx="24">
                  <c:v>-7.5037595225205598</c:v>
                </c:pt>
                <c:pt idx="25">
                  <c:v>-35.299861484584099</c:v>
                </c:pt>
                <c:pt idx="26">
                  <c:v>1.17924958483937</c:v>
                </c:pt>
                <c:pt idx="27">
                  <c:v>1.88496184653024</c:v>
                </c:pt>
                <c:pt idx="28">
                  <c:v>3.03667429271291</c:v>
                </c:pt>
                <c:pt idx="29">
                  <c:v>3.7371233016415499</c:v>
                </c:pt>
                <c:pt idx="30">
                  <c:v>16.841099171232599</c:v>
                </c:pt>
                <c:pt idx="31">
                  <c:v>1.8001193459475999</c:v>
                </c:pt>
                <c:pt idx="32">
                  <c:v>1.65929799403658</c:v>
                </c:pt>
                <c:pt idx="33">
                  <c:v>1</c:v>
                </c:pt>
                <c:pt idx="34">
                  <c:v>1.77974296962276</c:v>
                </c:pt>
                <c:pt idx="35">
                  <c:v>5.7114558818216903</c:v>
                </c:pt>
                <c:pt idx="36">
                  <c:v>1.9900484026476399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E-42D7-AC82-FA743A28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95583"/>
        <c:axId val="40696543"/>
      </c:scatterChart>
      <c:valAx>
        <c:axId val="406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6543"/>
        <c:crosses val="autoZero"/>
        <c:crossBetween val="midCat"/>
      </c:valAx>
      <c:valAx>
        <c:axId val="4069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</a:rPr>
              <a:t>log-log Scatter; Participant Omega set Division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</a:rPr>
              <a:t>By ∆CAC &amp; ∆NCPV, Set</a:t>
            </a: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 </a:t>
            </a:r>
            <a:r>
              <a:rPr lang="el-GR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Ω</a:t>
            </a:r>
            <a:r>
              <a:rPr lang="en-US"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, n=100</a:t>
            </a:r>
            <a:endParaRPr lang="en-US" sz="1400" b="1" i="0" u="none" strike="noStrike" kern="1200" spc="0" baseline="0">
              <a:solidFill>
                <a:schemeClr val="accent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'Keto-CTA with change &amp;Ln-Values'!$AC$1</c:f>
              <c:strCache>
                <c:ptCount val="1"/>
                <c:pt idx="0">
                  <c:v>LnDNcpv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'Keto-CTA with change &amp;Ln-Values'!$AC$2:$AC$102</c:f>
              <c:numCache>
                <c:formatCode>General</c:formatCode>
                <c:ptCount val="101"/>
                <c:pt idx="0">
                  <c:v>3.15273602236365</c:v>
                </c:pt>
                <c:pt idx="1">
                  <c:v>2.3513752571634701</c:v>
                </c:pt>
                <c:pt idx="2">
                  <c:v>2.9907197317304401</c:v>
                </c:pt>
                <c:pt idx="3">
                  <c:v>2.8735646395797798</c:v>
                </c:pt>
                <c:pt idx="4">
                  <c:v>2.1162555148025501</c:v>
                </c:pt>
                <c:pt idx="5">
                  <c:v>2.3223877202902199</c:v>
                </c:pt>
                <c:pt idx="6">
                  <c:v>0.87546873735389996</c:v>
                </c:pt>
                <c:pt idx="7">
                  <c:v>3.4965075614664798</c:v>
                </c:pt>
                <c:pt idx="8">
                  <c:v>2.8848007128467001</c:v>
                </c:pt>
                <c:pt idx="9">
                  <c:v>2.33214389523559</c:v>
                </c:pt>
                <c:pt idx="10">
                  <c:v>3.1179499062782399</c:v>
                </c:pt>
                <c:pt idx="11">
                  <c:v>3.1654750481410798</c:v>
                </c:pt>
                <c:pt idx="12">
                  <c:v>2.5494451709255701</c:v>
                </c:pt>
                <c:pt idx="13">
                  <c:v>2.5257286443082498</c:v>
                </c:pt>
                <c:pt idx="14">
                  <c:v>3.5409593240373098</c:v>
                </c:pt>
                <c:pt idx="15">
                  <c:v>3.8155121050473002</c:v>
                </c:pt>
                <c:pt idx="16">
                  <c:v>0</c:v>
                </c:pt>
                <c:pt idx="17">
                  <c:v>2.1162555148025501</c:v>
                </c:pt>
                <c:pt idx="18">
                  <c:v>2.68102152871429</c:v>
                </c:pt>
                <c:pt idx="19">
                  <c:v>2.9601050959108299</c:v>
                </c:pt>
                <c:pt idx="20">
                  <c:v>2.1041341542701999</c:v>
                </c:pt>
                <c:pt idx="21">
                  <c:v>1.8082887711792599</c:v>
                </c:pt>
                <c:pt idx="22">
                  <c:v>3.85651029549788</c:v>
                </c:pt>
                <c:pt idx="23">
                  <c:v>1.6486586255873801</c:v>
                </c:pt>
                <c:pt idx="24">
                  <c:v>3.7588718259339702</c:v>
                </c:pt>
                <c:pt idx="25">
                  <c:v>2.3223877202902199</c:v>
                </c:pt>
                <c:pt idx="26">
                  <c:v>1.2237754316221101</c:v>
                </c:pt>
                <c:pt idx="27">
                  <c:v>0</c:v>
                </c:pt>
                <c:pt idx="28">
                  <c:v>4.0342406381523901</c:v>
                </c:pt>
                <c:pt idx="29">
                  <c:v>3.4177266836133602</c:v>
                </c:pt>
                <c:pt idx="30">
                  <c:v>1.90210752639692</c:v>
                </c:pt>
                <c:pt idx="31">
                  <c:v>1.5892352051165799</c:v>
                </c:pt>
                <c:pt idx="32">
                  <c:v>2.42480272571829</c:v>
                </c:pt>
                <c:pt idx="33">
                  <c:v>2.8564702062204801</c:v>
                </c:pt>
                <c:pt idx="34">
                  <c:v>3.42426265459315</c:v>
                </c:pt>
                <c:pt idx="35">
                  <c:v>1.85629799036562</c:v>
                </c:pt>
                <c:pt idx="36">
                  <c:v>2.1400661634962699</c:v>
                </c:pt>
                <c:pt idx="37">
                  <c:v>2.4510050981123102</c:v>
                </c:pt>
                <c:pt idx="38">
                  <c:v>3.0773122605464098</c:v>
                </c:pt>
                <c:pt idx="39">
                  <c:v>2.2192034840549901</c:v>
                </c:pt>
                <c:pt idx="40">
                  <c:v>2.4932054526026901</c:v>
                </c:pt>
                <c:pt idx="41">
                  <c:v>1.4350845252893201</c:v>
                </c:pt>
                <c:pt idx="42">
                  <c:v>3.7954891891721898</c:v>
                </c:pt>
                <c:pt idx="43">
                  <c:v>1.3862943611198899</c:v>
                </c:pt>
                <c:pt idx="44">
                  <c:v>0.18232155679395401</c:v>
                </c:pt>
                <c:pt idx="45">
                  <c:v>2.6246685921631498</c:v>
                </c:pt>
                <c:pt idx="46">
                  <c:v>3.6243409329763598</c:v>
                </c:pt>
                <c:pt idx="47">
                  <c:v>1.4350845252893201</c:v>
                </c:pt>
                <c:pt idx="48">
                  <c:v>2.8033603809065299</c:v>
                </c:pt>
                <c:pt idx="49">
                  <c:v>4.3618239273563599</c:v>
                </c:pt>
                <c:pt idx="50">
                  <c:v>2.6741486494265199</c:v>
                </c:pt>
                <c:pt idx="51">
                  <c:v>3.5667118201397199</c:v>
                </c:pt>
                <c:pt idx="52">
                  <c:v>3.6136169696133802</c:v>
                </c:pt>
                <c:pt idx="53">
                  <c:v>2.9069010598473701</c:v>
                </c:pt>
                <c:pt idx="54">
                  <c:v>3.3877743613300102</c:v>
                </c:pt>
                <c:pt idx="55">
                  <c:v>3.5945687746426902</c:v>
                </c:pt>
                <c:pt idx="56">
                  <c:v>2.98568193770048</c:v>
                </c:pt>
                <c:pt idx="57">
                  <c:v>1.5260563034950401</c:v>
                </c:pt>
                <c:pt idx="58">
                  <c:v>3.8999504241938698</c:v>
                </c:pt>
                <c:pt idx="59">
                  <c:v>4.1447207695471597</c:v>
                </c:pt>
                <c:pt idx="60">
                  <c:v>3.1484533605716498</c:v>
                </c:pt>
                <c:pt idx="61">
                  <c:v>2.05412373369554</c:v>
                </c:pt>
                <c:pt idx="62">
                  <c:v>3.8416005411316001</c:v>
                </c:pt>
                <c:pt idx="63">
                  <c:v>1.7047480922384199</c:v>
                </c:pt>
                <c:pt idx="64">
                  <c:v>3.2542429687054901</c:v>
                </c:pt>
                <c:pt idx="65">
                  <c:v>4.6111522576656299</c:v>
                </c:pt>
                <c:pt idx="66">
                  <c:v>4.4461744544976298</c:v>
                </c:pt>
                <c:pt idx="67">
                  <c:v>4.0395363257271004</c:v>
                </c:pt>
                <c:pt idx="68">
                  <c:v>4.39197696552705</c:v>
                </c:pt>
                <c:pt idx="69">
                  <c:v>3.7232808808312599</c:v>
                </c:pt>
                <c:pt idx="70">
                  <c:v>1.2237754316221101</c:v>
                </c:pt>
                <c:pt idx="71">
                  <c:v>3.9589065913269899</c:v>
                </c:pt>
                <c:pt idx="72">
                  <c:v>2.7212954278522301</c:v>
                </c:pt>
                <c:pt idx="73">
                  <c:v>2.4680995314716201</c:v>
                </c:pt>
                <c:pt idx="74">
                  <c:v>3.9298629235564699</c:v>
                </c:pt>
                <c:pt idx="75">
                  <c:v>3.4436180975460999</c:v>
                </c:pt>
                <c:pt idx="76">
                  <c:v>4.2253728246284998</c:v>
                </c:pt>
                <c:pt idx="77">
                  <c:v>4.1271343850450899</c:v>
                </c:pt>
                <c:pt idx="78">
                  <c:v>2.43361335540044</c:v>
                </c:pt>
                <c:pt idx="79">
                  <c:v>2.7343675094195801</c:v>
                </c:pt>
                <c:pt idx="80">
                  <c:v>2.3702437414678599</c:v>
                </c:pt>
                <c:pt idx="81">
                  <c:v>4.2456340097683203</c:v>
                </c:pt>
                <c:pt idx="82">
                  <c:v>3.8836235309064402</c:v>
                </c:pt>
                <c:pt idx="83">
                  <c:v>1.9878743481543399</c:v>
                </c:pt>
                <c:pt idx="84">
                  <c:v>4.4659081186545802</c:v>
                </c:pt>
                <c:pt idx="85">
                  <c:v>2.9177707320842701</c:v>
                </c:pt>
                <c:pt idx="86">
                  <c:v>3.0106208860477399</c:v>
                </c:pt>
                <c:pt idx="87">
                  <c:v>4.7273878187123399</c:v>
                </c:pt>
                <c:pt idx="88">
                  <c:v>2.6532419646072101</c:v>
                </c:pt>
                <c:pt idx="89">
                  <c:v>2.5336968139574298</c:v>
                </c:pt>
                <c:pt idx="90">
                  <c:v>4.7361984483944903</c:v>
                </c:pt>
                <c:pt idx="91">
                  <c:v>4.4897593344767603</c:v>
                </c:pt>
                <c:pt idx="92">
                  <c:v>5.0556086597389802</c:v>
                </c:pt>
                <c:pt idx="93">
                  <c:v>4.0910056609565801</c:v>
                </c:pt>
                <c:pt idx="94">
                  <c:v>4.1573193613834798</c:v>
                </c:pt>
                <c:pt idx="95">
                  <c:v>3.90197266957464</c:v>
                </c:pt>
                <c:pt idx="96">
                  <c:v>4.3280982926483196</c:v>
                </c:pt>
                <c:pt idx="97">
                  <c:v>4.2640873368091903</c:v>
                </c:pt>
                <c:pt idx="98">
                  <c:v>3.4904285153900898</c:v>
                </c:pt>
                <c:pt idx="99">
                  <c:v>4.9037921984782002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5-44AC-AB93-464342A0352A}"/>
            </c:ext>
          </c:extLst>
        </c:ser>
        <c:ser>
          <c:idx val="1"/>
          <c:order val="1"/>
          <c:tx>
            <c:strRef>
              <c:f>'Keto-CTA with change &amp;Ln-Values'!$AD$1</c:f>
              <c:strCache>
                <c:ptCount val="1"/>
                <c:pt idx="0">
                  <c:v>LnDCac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'Keto-CTA with change &amp;Ln-Values'!$AD$2:$AD$102</c:f>
              <c:numCache>
                <c:formatCode>General</c:formatCode>
                <c:ptCount val="101"/>
                <c:pt idx="0">
                  <c:v>1.9459101490553099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0.69314718055994495</c:v>
                </c:pt>
                <c:pt idx="51">
                  <c:v>0.69314718055994495</c:v>
                </c:pt>
                <c:pt idx="52">
                  <c:v>1.0986122886681</c:v>
                </c:pt>
                <c:pt idx="53">
                  <c:v>1.0986122886681</c:v>
                </c:pt>
                <c:pt idx="54">
                  <c:v>2.99573227355399</c:v>
                </c:pt>
                <c:pt idx="55">
                  <c:v>2.07944154167983</c:v>
                </c:pt>
                <c:pt idx="56">
                  <c:v>1.9459101490553099</c:v>
                </c:pt>
                <c:pt idx="57">
                  <c:v>1.0986122886681</c:v>
                </c:pt>
                <c:pt idx="58">
                  <c:v>0.69314718055994495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0.69314718055994495</c:v>
                </c:pt>
                <c:pt idx="65">
                  <c:v>0.69314718055994495</c:v>
                </c:pt>
                <c:pt idx="66">
                  <c:v>0.69314718055994495</c:v>
                </c:pt>
                <c:pt idx="67">
                  <c:v>1.0986122886681</c:v>
                </c:pt>
                <c:pt idx="68">
                  <c:v>1.0986122886681</c:v>
                </c:pt>
                <c:pt idx="69">
                  <c:v>1.3862943611198899</c:v>
                </c:pt>
                <c:pt idx="70">
                  <c:v>1.6094379124341001</c:v>
                </c:pt>
                <c:pt idx="71">
                  <c:v>1.6094379124341001</c:v>
                </c:pt>
                <c:pt idx="72">
                  <c:v>1.6094379124341001</c:v>
                </c:pt>
                <c:pt idx="73">
                  <c:v>1.7917594692280501</c:v>
                </c:pt>
                <c:pt idx="74">
                  <c:v>1.7917594692280501</c:v>
                </c:pt>
                <c:pt idx="75">
                  <c:v>1.7917594692280501</c:v>
                </c:pt>
                <c:pt idx="76">
                  <c:v>1.7917594692280501</c:v>
                </c:pt>
                <c:pt idx="77">
                  <c:v>2.07944154167983</c:v>
                </c:pt>
                <c:pt idx="78">
                  <c:v>2.1972245773362098</c:v>
                </c:pt>
                <c:pt idx="79">
                  <c:v>2.3978952727983698</c:v>
                </c:pt>
                <c:pt idx="80">
                  <c:v>2.3978952727983698</c:v>
                </c:pt>
                <c:pt idx="81">
                  <c:v>2.5649493574615301</c:v>
                </c:pt>
                <c:pt idx="82">
                  <c:v>2.5649493574615301</c:v>
                </c:pt>
                <c:pt idx="83">
                  <c:v>2.7080502011022101</c:v>
                </c:pt>
                <c:pt idx="84">
                  <c:v>2.8332133440562099</c:v>
                </c:pt>
                <c:pt idx="85">
                  <c:v>2.9444389791664398</c:v>
                </c:pt>
                <c:pt idx="86">
                  <c:v>2.9444389791664398</c:v>
                </c:pt>
                <c:pt idx="87">
                  <c:v>3.3322045101751998</c:v>
                </c:pt>
                <c:pt idx="88">
                  <c:v>3.3672958299864701</c:v>
                </c:pt>
                <c:pt idx="89">
                  <c:v>3.4657359027997199</c:v>
                </c:pt>
                <c:pt idx="90">
                  <c:v>3.4657359027997199</c:v>
                </c:pt>
                <c:pt idx="91">
                  <c:v>3.4657359027997199</c:v>
                </c:pt>
                <c:pt idx="92">
                  <c:v>3.5835189384561099</c:v>
                </c:pt>
                <c:pt idx="93">
                  <c:v>3.6109179126442199</c:v>
                </c:pt>
                <c:pt idx="94">
                  <c:v>3.7841896339182601</c:v>
                </c:pt>
                <c:pt idx="95">
                  <c:v>3.93182563272432</c:v>
                </c:pt>
                <c:pt idx="96">
                  <c:v>4.0604430105464102</c:v>
                </c:pt>
                <c:pt idx="97">
                  <c:v>4.1108738641733096</c:v>
                </c:pt>
                <c:pt idx="98">
                  <c:v>4.3694478524670197</c:v>
                </c:pt>
                <c:pt idx="99">
                  <c:v>5.3612921657094201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35-44AC-AB93-464342A03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962655"/>
        <c:axId val="260960735"/>
      </c:lineChart>
      <c:catAx>
        <c:axId val="26096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60735"/>
        <c:crosses val="autoZero"/>
        <c:auto val="1"/>
        <c:lblAlgn val="ctr"/>
        <c:lblOffset val="100"/>
        <c:noMultiLvlLbl val="0"/>
      </c:catAx>
      <c:valAx>
        <c:axId val="2609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6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>
                <a:solidFill>
                  <a:schemeClr val="accent2">
                    <a:lumMod val="75000"/>
                  </a:schemeClr>
                </a:solidFill>
              </a:rPr>
              <a:t>log-log Scatter; Participant Omega set Division</a:t>
            </a:r>
          </a:p>
          <a:p>
            <a:pPr>
              <a:defRPr/>
            </a:pPr>
            <a:r>
              <a:rPr lang="en-US" sz="1800" b="1" baseline="0">
                <a:solidFill>
                  <a:schemeClr val="accent2">
                    <a:lumMod val="75000"/>
                  </a:schemeClr>
                </a:solidFill>
              </a:rPr>
              <a:t>By ∆CAC &amp; </a:t>
            </a:r>
            <a:r>
              <a:rPr lang="en-US" sz="1800" b="1" i="0" u="none" strike="noStrike" kern="1200" spc="0" baseline="0">
                <a:solidFill>
                  <a:schemeClr val="accent2">
                    <a:lumMod val="75000"/>
                  </a:schemeClr>
                </a:solidFill>
              </a:rPr>
              <a:t>∆NCPV,</a:t>
            </a:r>
            <a:r>
              <a:rPr lang="en-US" sz="1800" b="1" baseline="0">
                <a:solidFill>
                  <a:schemeClr val="accent2">
                    <a:lumMod val="75000"/>
                  </a:schemeClr>
                </a:solidFill>
              </a:rPr>
              <a:t> Set</a:t>
            </a:r>
            <a:r>
              <a:rPr lang="en-US" sz="1800" b="1" baseline="0">
                <a:solidFill>
                  <a:schemeClr val="tx1"/>
                </a:solidFill>
              </a:rPr>
              <a:t> </a:t>
            </a:r>
            <a:r>
              <a:rPr lang="el-GR" sz="18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Ω</a:t>
            </a:r>
            <a:r>
              <a:rPr lang="en-US" sz="18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, n=100</a:t>
            </a:r>
            <a:endParaRPr lang="en-US" sz="1800" b="1" baseline="0">
              <a:solidFill>
                <a:schemeClr val="accent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2548976365334659"/>
          <c:y val="2.0680552839558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95170925720176E-2"/>
          <c:y val="0.17192018546898849"/>
          <c:w val="0.90659942353831535"/>
          <c:h val="0.71786216819418791"/>
        </c:manualLayout>
      </c:layout>
      <c:lineChart>
        <c:grouping val="standard"/>
        <c:varyColors val="0"/>
        <c:ser>
          <c:idx val="0"/>
          <c:order val="0"/>
          <c:tx>
            <c:strRef>
              <c:f>'[1]Working data'!$S$1</c:f>
              <c:strCache>
                <c:ptCount val="1"/>
                <c:pt idx="0">
                  <c:v>ln ∆NCPV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'[1]Working data'!$S$2:$S$101</c:f>
              <c:numCache>
                <c:formatCode>General</c:formatCode>
                <c:ptCount val="100"/>
                <c:pt idx="0">
                  <c:v>4.9037921984782065</c:v>
                </c:pt>
                <c:pt idx="1">
                  <c:v>3.4904285153900978</c:v>
                </c:pt>
                <c:pt idx="2">
                  <c:v>4.3280982926483258</c:v>
                </c:pt>
                <c:pt idx="3">
                  <c:v>3.9019726695746448</c:v>
                </c:pt>
                <c:pt idx="4">
                  <c:v>4.1573193613834887</c:v>
                </c:pt>
                <c:pt idx="5">
                  <c:v>4.0910056609565864</c:v>
                </c:pt>
                <c:pt idx="6">
                  <c:v>5.0556086597389864</c:v>
                </c:pt>
                <c:pt idx="7">
                  <c:v>4.7361984483944948</c:v>
                </c:pt>
                <c:pt idx="8">
                  <c:v>4.489759334476763</c:v>
                </c:pt>
                <c:pt idx="9">
                  <c:v>2.5336968139574321</c:v>
                </c:pt>
                <c:pt idx="10">
                  <c:v>2.6532419646072141</c:v>
                </c:pt>
                <c:pt idx="11">
                  <c:v>4.7273878187123408</c:v>
                </c:pt>
                <c:pt idx="12">
                  <c:v>2.9177707320842794</c:v>
                </c:pt>
                <c:pt idx="13">
                  <c:v>4.4659081186545837</c:v>
                </c:pt>
                <c:pt idx="14">
                  <c:v>1.9878743481543459</c:v>
                </c:pt>
                <c:pt idx="15">
                  <c:v>4.2456340097683274</c:v>
                </c:pt>
                <c:pt idx="16">
                  <c:v>3.8836235309064486</c:v>
                </c:pt>
                <c:pt idx="17">
                  <c:v>2.7343675094195841</c:v>
                </c:pt>
                <c:pt idx="18">
                  <c:v>2.3702437414678608</c:v>
                </c:pt>
                <c:pt idx="19">
                  <c:v>2.4336133554004498</c:v>
                </c:pt>
                <c:pt idx="20">
                  <c:v>4.1271343850450917</c:v>
                </c:pt>
                <c:pt idx="21">
                  <c:v>4.2253728246285043</c:v>
                </c:pt>
                <c:pt idx="22">
                  <c:v>3.929862923556477</c:v>
                </c:pt>
                <c:pt idx="23">
                  <c:v>3.4436180975461079</c:v>
                </c:pt>
                <c:pt idx="24">
                  <c:v>2.4680995314716201</c:v>
                </c:pt>
                <c:pt idx="25">
                  <c:v>3.9589065913269965</c:v>
                </c:pt>
                <c:pt idx="26">
                  <c:v>2.7212954278522301</c:v>
                </c:pt>
                <c:pt idx="27">
                  <c:v>1.2237754316221152</c:v>
                </c:pt>
                <c:pt idx="28">
                  <c:v>3.7232808808312687</c:v>
                </c:pt>
                <c:pt idx="29">
                  <c:v>4.39197696552705</c:v>
                </c:pt>
                <c:pt idx="30">
                  <c:v>4.0395363257271057</c:v>
                </c:pt>
                <c:pt idx="31">
                  <c:v>3.6136169696133895</c:v>
                </c:pt>
                <c:pt idx="32">
                  <c:v>2.906901059847375</c:v>
                </c:pt>
                <c:pt idx="33">
                  <c:v>4.6111522576656387</c:v>
                </c:pt>
                <c:pt idx="34">
                  <c:v>4.4461744544976334</c:v>
                </c:pt>
                <c:pt idx="35">
                  <c:v>3.5667118201397288</c:v>
                </c:pt>
                <c:pt idx="36">
                  <c:v>3.2542429687054923</c:v>
                </c:pt>
                <c:pt idx="37">
                  <c:v>2.6741486494265287</c:v>
                </c:pt>
                <c:pt idx="38">
                  <c:v>3.8416005411316001</c:v>
                </c:pt>
                <c:pt idx="39">
                  <c:v>3.1484533605716551</c:v>
                </c:pt>
                <c:pt idx="40">
                  <c:v>4.3618239273563626</c:v>
                </c:pt>
                <c:pt idx="41">
                  <c:v>4.1447207695471677</c:v>
                </c:pt>
                <c:pt idx="42">
                  <c:v>4.0342406381523954</c:v>
                </c:pt>
                <c:pt idx="43">
                  <c:v>3.8565102954978872</c:v>
                </c:pt>
                <c:pt idx="44">
                  <c:v>3.8155121050473024</c:v>
                </c:pt>
                <c:pt idx="45">
                  <c:v>3.7954891891721947</c:v>
                </c:pt>
                <c:pt idx="46">
                  <c:v>3.7588718259339711</c:v>
                </c:pt>
                <c:pt idx="47">
                  <c:v>3.6243409329763652</c:v>
                </c:pt>
                <c:pt idx="48">
                  <c:v>3.5409593240373143</c:v>
                </c:pt>
                <c:pt idx="49">
                  <c:v>3.4965075614664802</c:v>
                </c:pt>
                <c:pt idx="50">
                  <c:v>3.4242626545931514</c:v>
                </c:pt>
                <c:pt idx="51">
                  <c:v>3.417726683613366</c:v>
                </c:pt>
                <c:pt idx="52">
                  <c:v>3.1654750481410856</c:v>
                </c:pt>
                <c:pt idx="53">
                  <c:v>3.1179499062782408</c:v>
                </c:pt>
                <c:pt idx="54">
                  <c:v>3.0773122605464138</c:v>
                </c:pt>
                <c:pt idx="55">
                  <c:v>2.9907197317304455</c:v>
                </c:pt>
                <c:pt idx="56">
                  <c:v>2.9601050959108397</c:v>
                </c:pt>
                <c:pt idx="57">
                  <c:v>2.8848007128467095</c:v>
                </c:pt>
                <c:pt idx="58">
                  <c:v>2.8735646395797834</c:v>
                </c:pt>
                <c:pt idx="59">
                  <c:v>2.8564702062204832</c:v>
                </c:pt>
                <c:pt idx="60">
                  <c:v>2.6810215287142909</c:v>
                </c:pt>
                <c:pt idx="61">
                  <c:v>2.6246685921631587</c:v>
                </c:pt>
                <c:pt idx="62">
                  <c:v>2.5494451709255714</c:v>
                </c:pt>
                <c:pt idx="63">
                  <c:v>2.5257286443082552</c:v>
                </c:pt>
                <c:pt idx="64">
                  <c:v>2.4932054526026954</c:v>
                </c:pt>
                <c:pt idx="65">
                  <c:v>2.451005098112319</c:v>
                </c:pt>
                <c:pt idx="66">
                  <c:v>2.4248027257182949</c:v>
                </c:pt>
                <c:pt idx="67">
                  <c:v>2.3513752571634776</c:v>
                </c:pt>
                <c:pt idx="68">
                  <c:v>2.33214389523559</c:v>
                </c:pt>
                <c:pt idx="69">
                  <c:v>2.3223877202902257</c:v>
                </c:pt>
                <c:pt idx="70">
                  <c:v>2.3223877202902252</c:v>
                </c:pt>
                <c:pt idx="71">
                  <c:v>2.2192034840549946</c:v>
                </c:pt>
                <c:pt idx="72">
                  <c:v>2.1400661634962708</c:v>
                </c:pt>
                <c:pt idx="73">
                  <c:v>2.1162555148025524</c:v>
                </c:pt>
                <c:pt idx="74">
                  <c:v>2.1162555148025524</c:v>
                </c:pt>
                <c:pt idx="75">
                  <c:v>2.1041341542702074</c:v>
                </c:pt>
                <c:pt idx="76">
                  <c:v>2.0541237336955458</c:v>
                </c:pt>
                <c:pt idx="77">
                  <c:v>1.9021075263969205</c:v>
                </c:pt>
                <c:pt idx="78">
                  <c:v>1.8562979903656265</c:v>
                </c:pt>
                <c:pt idx="79">
                  <c:v>1.8082887711792655</c:v>
                </c:pt>
                <c:pt idx="80">
                  <c:v>1.6486586255873816</c:v>
                </c:pt>
                <c:pt idx="81">
                  <c:v>1.589235205116581</c:v>
                </c:pt>
                <c:pt idx="82">
                  <c:v>1.4350845252893225</c:v>
                </c:pt>
                <c:pt idx="83">
                  <c:v>1.3862943611198906</c:v>
                </c:pt>
                <c:pt idx="84">
                  <c:v>1.2237754316221152</c:v>
                </c:pt>
                <c:pt idx="85">
                  <c:v>0.87546873735390007</c:v>
                </c:pt>
                <c:pt idx="86">
                  <c:v>0.18232155679395479</c:v>
                </c:pt>
                <c:pt idx="87">
                  <c:v>0</c:v>
                </c:pt>
                <c:pt idx="88">
                  <c:v>0</c:v>
                </c:pt>
                <c:pt idx="89">
                  <c:v>4.2640873368091947</c:v>
                </c:pt>
                <c:pt idx="90">
                  <c:v>3.0106208860477417</c:v>
                </c:pt>
                <c:pt idx="91">
                  <c:v>3.1527360223636558</c:v>
                </c:pt>
                <c:pt idx="92">
                  <c:v>2.8033603809065348</c:v>
                </c:pt>
                <c:pt idx="93">
                  <c:v>1.4350845252893234</c:v>
                </c:pt>
                <c:pt idx="94">
                  <c:v>3.8999504241938769</c:v>
                </c:pt>
                <c:pt idx="95">
                  <c:v>1.5260563034950481</c:v>
                </c:pt>
                <c:pt idx="96">
                  <c:v>3.1527360223636558</c:v>
                </c:pt>
                <c:pt idx="97">
                  <c:v>2.9856819377004893</c:v>
                </c:pt>
                <c:pt idx="98">
                  <c:v>3.5945687746426951</c:v>
                </c:pt>
                <c:pt idx="99">
                  <c:v>3.3877743613300151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B-4D89-B235-7EC30EF90F79}"/>
            </c:ext>
          </c:extLst>
        </c:ser>
        <c:ser>
          <c:idx val="1"/>
          <c:order val="1"/>
          <c:tx>
            <c:strRef>
              <c:f>'[1]Working data'!$T$1</c:f>
              <c:strCache>
                <c:ptCount val="1"/>
                <c:pt idx="0">
                  <c:v>ln ∆CAC2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'[1]Working data'!$T$2:$T$101</c:f>
              <c:numCache>
                <c:formatCode>General</c:formatCode>
                <c:ptCount val="100"/>
                <c:pt idx="0">
                  <c:v>5.3612921657094255</c:v>
                </c:pt>
                <c:pt idx="1">
                  <c:v>4.3694478524670215</c:v>
                </c:pt>
                <c:pt idx="2">
                  <c:v>4.0604430105464191</c:v>
                </c:pt>
                <c:pt idx="3">
                  <c:v>3.9318256327243257</c:v>
                </c:pt>
                <c:pt idx="4">
                  <c:v>3.784189633918261</c:v>
                </c:pt>
                <c:pt idx="5">
                  <c:v>3.6109179126442243</c:v>
                </c:pt>
                <c:pt idx="6">
                  <c:v>3.5835189384561099</c:v>
                </c:pt>
                <c:pt idx="7">
                  <c:v>3.4657359027997265</c:v>
                </c:pt>
                <c:pt idx="8">
                  <c:v>3.4657359027997265</c:v>
                </c:pt>
                <c:pt idx="9">
                  <c:v>3.4657359027997265</c:v>
                </c:pt>
                <c:pt idx="10">
                  <c:v>3.3672958299864741</c:v>
                </c:pt>
                <c:pt idx="11">
                  <c:v>3.3322045101752038</c:v>
                </c:pt>
                <c:pt idx="12">
                  <c:v>2.9444389791664403</c:v>
                </c:pt>
                <c:pt idx="13">
                  <c:v>2.8332133440562162</c:v>
                </c:pt>
                <c:pt idx="14">
                  <c:v>2.7080502011022101</c:v>
                </c:pt>
                <c:pt idx="15">
                  <c:v>2.5649493574615367</c:v>
                </c:pt>
                <c:pt idx="16">
                  <c:v>2.5649493574615367</c:v>
                </c:pt>
                <c:pt idx="17">
                  <c:v>2.3978952727983707</c:v>
                </c:pt>
                <c:pt idx="18">
                  <c:v>2.3978952727983707</c:v>
                </c:pt>
                <c:pt idx="19">
                  <c:v>2.1972245773362196</c:v>
                </c:pt>
                <c:pt idx="20">
                  <c:v>2.0794415416798357</c:v>
                </c:pt>
                <c:pt idx="21">
                  <c:v>1.791759469228055</c:v>
                </c:pt>
                <c:pt idx="22">
                  <c:v>1.791759469228055</c:v>
                </c:pt>
                <c:pt idx="23">
                  <c:v>1.791759469228055</c:v>
                </c:pt>
                <c:pt idx="24">
                  <c:v>1.791759469228055</c:v>
                </c:pt>
                <c:pt idx="25">
                  <c:v>1.6094379124341003</c:v>
                </c:pt>
                <c:pt idx="26">
                  <c:v>1.6094379124341003</c:v>
                </c:pt>
                <c:pt idx="27">
                  <c:v>1.6094379124341003</c:v>
                </c:pt>
                <c:pt idx="28">
                  <c:v>1.3862943611198906</c:v>
                </c:pt>
                <c:pt idx="29">
                  <c:v>1.0986122886681098</c:v>
                </c:pt>
                <c:pt idx="30">
                  <c:v>1.0986122886681098</c:v>
                </c:pt>
                <c:pt idx="31">
                  <c:v>1.0986122886681098</c:v>
                </c:pt>
                <c:pt idx="32">
                  <c:v>1.0986122886681098</c:v>
                </c:pt>
                <c:pt idx="33">
                  <c:v>0.69314718055994529</c:v>
                </c:pt>
                <c:pt idx="34">
                  <c:v>0.69314718055994529</c:v>
                </c:pt>
                <c:pt idx="35">
                  <c:v>0.69314718055994529</c:v>
                </c:pt>
                <c:pt idx="36">
                  <c:v>0.69314718055994529</c:v>
                </c:pt>
                <c:pt idx="37">
                  <c:v>0.69314718055994529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4.1108738641733114</c:v>
                </c:pt>
                <c:pt idx="90">
                  <c:v>2.9444389791664403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0.69314718055994529</c:v>
                </c:pt>
                <c:pt idx="95">
                  <c:v>1.0986122886681098</c:v>
                </c:pt>
                <c:pt idx="96">
                  <c:v>1.9459101490553132</c:v>
                </c:pt>
                <c:pt idx="97">
                  <c:v>1.9459101490553132</c:v>
                </c:pt>
                <c:pt idx="98">
                  <c:v>2.0794415416798357</c:v>
                </c:pt>
                <c:pt idx="99">
                  <c:v>2.9957322735539909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2B-4D89-B235-7EC30EF90F79}"/>
            </c:ext>
          </c:extLst>
        </c:ser>
        <c:ser>
          <c:idx val="2"/>
          <c:order val="2"/>
          <c:tx>
            <c:strRef>
              <c:f>'[1]Working data'!$V$1</c:f>
              <c:strCache>
                <c:ptCount val="1"/>
                <c:pt idx="0">
                  <c:v>scaled ∆CAC; Plus, Zero, or Minus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'[1]Working data'!$V$2:$V$101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0.66666666666666663</c:v>
                </c:pt>
                <c:pt idx="30">
                  <c:v>0.66666666666666663</c:v>
                </c:pt>
                <c:pt idx="31">
                  <c:v>0.66666666666666663</c:v>
                </c:pt>
                <c:pt idx="32">
                  <c:v>0.66666666666666663</c:v>
                </c:pt>
                <c:pt idx="33">
                  <c:v>0.33333333333333331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0.33333333333333331</c:v>
                </c:pt>
                <c:pt idx="37">
                  <c:v>0.33333333333333331</c:v>
                </c:pt>
                <c:pt idx="38">
                  <c:v>0.02</c:v>
                </c:pt>
                <c:pt idx="39">
                  <c:v>0.02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0.02</c:v>
                </c:pt>
                <c:pt idx="92">
                  <c:v>0</c:v>
                </c:pt>
                <c:pt idx="93">
                  <c:v>0</c:v>
                </c:pt>
                <c:pt idx="94">
                  <c:v>-5.2631578947368418E-2</c:v>
                </c:pt>
                <c:pt idx="95">
                  <c:v>-0.10526315789473684</c:v>
                </c:pt>
                <c:pt idx="96">
                  <c:v>-0.31578947368421051</c:v>
                </c:pt>
                <c:pt idx="97">
                  <c:v>-0.31578947368421051</c:v>
                </c:pt>
                <c:pt idx="98">
                  <c:v>-0.36842105263157893</c:v>
                </c:pt>
                <c:pt idx="9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2B-4D89-B235-7EC30EF9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476511"/>
        <c:axId val="499474111"/>
      </c:lineChart>
      <c:catAx>
        <c:axId val="49947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74111"/>
        <c:crosses val="autoZero"/>
        <c:auto val="1"/>
        <c:lblAlgn val="ctr"/>
        <c:lblOffset val="100"/>
        <c:noMultiLvlLbl val="0"/>
      </c:catAx>
      <c:valAx>
        <c:axId val="4994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in"/>
        <c:minorTickMark val="in"/>
        <c:tickLblPos val="nextTo"/>
        <c:spPr>
          <a:noFill/>
          <a:ln>
            <a:solidFill>
              <a:srgbClr val="FFFFF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76511"/>
        <c:crosses val="autoZero"/>
        <c:crossBetween val="between"/>
        <c:majorUnit val="0.5"/>
      </c:valAx>
      <c:spPr>
        <a:noFill/>
        <a:ln>
          <a:solidFill>
            <a:schemeClr val="accent1">
              <a:shade val="1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l-GR" sz="1100" b="1" i="0" u="none" strike="noStrike" kern="1200" spc="0" baseline="0">
                <a:solidFill>
                  <a:schemeClr val="bg1"/>
                </a:solidFill>
              </a:rPr>
              <a:t>Δ</a:t>
            </a:r>
            <a:r>
              <a:rPr lang="en-US" b="1" i="0" baseline="0">
                <a:solidFill>
                  <a:schemeClr val="bg1"/>
                </a:solidFill>
              </a:rPr>
              <a:t> CAC, visit2 - visit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8293520278549813"/>
                  <c:y val="6.2822518251429869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i="0" baseline="0">
                        <a:solidFill>
                          <a:schemeClr val="bg1"/>
                        </a:solidFill>
                      </a:rPr>
                      <a:t>y = 2.1083x - 20.919</a:t>
                    </a:r>
                    <a:br>
                      <a:rPr lang="en-US" b="1" i="0" baseline="0">
                        <a:solidFill>
                          <a:schemeClr val="bg1"/>
                        </a:solidFill>
                      </a:rPr>
                    </a:br>
                    <a:r>
                      <a:rPr lang="en-US" b="1" i="0" baseline="0">
                        <a:solidFill>
                          <a:schemeClr val="bg1"/>
                        </a:solidFill>
                      </a:rPr>
                      <a:t>R² = 0.4633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'Keto-CTA with change &amp;Ln-Values'!$X$62:$X$101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10</c:v>
                </c:pt>
                <c:pt idx="20">
                  <c:v>10</c:v>
                </c:pt>
                <c:pt idx="21">
                  <c:v>12</c:v>
                </c:pt>
                <c:pt idx="22">
                  <c:v>12</c:v>
                </c:pt>
                <c:pt idx="23">
                  <c:v>14</c:v>
                </c:pt>
                <c:pt idx="24">
                  <c:v>16</c:v>
                </c:pt>
                <c:pt idx="25">
                  <c:v>18</c:v>
                </c:pt>
                <c:pt idx="26">
                  <c:v>18</c:v>
                </c:pt>
                <c:pt idx="27">
                  <c:v>27</c:v>
                </c:pt>
                <c:pt idx="28">
                  <c:v>28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35</c:v>
                </c:pt>
                <c:pt idx="33">
                  <c:v>36</c:v>
                </c:pt>
                <c:pt idx="34">
                  <c:v>43</c:v>
                </c:pt>
                <c:pt idx="35">
                  <c:v>50</c:v>
                </c:pt>
                <c:pt idx="36">
                  <c:v>57</c:v>
                </c:pt>
                <c:pt idx="37">
                  <c:v>60</c:v>
                </c:pt>
                <c:pt idx="38">
                  <c:v>78</c:v>
                </c:pt>
                <c:pt idx="39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2-4BAD-B04A-A7C9F0C9E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25728"/>
        <c:axId val="77826688"/>
      </c:lineChart>
      <c:catAx>
        <c:axId val="778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6688"/>
        <c:crosses val="autoZero"/>
        <c:auto val="1"/>
        <c:lblAlgn val="ctr"/>
        <c:lblOffset val="100"/>
        <c:noMultiLvlLbl val="0"/>
      </c:catAx>
      <c:valAx>
        <c:axId val="77826688"/>
        <c:scaling>
          <c:logBase val="2"/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bg1"/>
                </a:solidFill>
              </a:rPr>
              <a:t>Ln </a:t>
            </a:r>
            <a:r>
              <a:rPr lang="el-GR" sz="1400" b="1" i="0" u="none" strike="noStrike" kern="1200" spc="0" baseline="0">
                <a:solidFill>
                  <a:schemeClr val="bg1"/>
                </a:solidFill>
              </a:rPr>
              <a:t>Δ</a:t>
            </a:r>
            <a:r>
              <a:rPr lang="en-US" b="1" baseline="0">
                <a:solidFill>
                  <a:schemeClr val="bg1"/>
                </a:solidFill>
              </a:rPr>
              <a:t> Cac, visit1 - visit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7247016687289873"/>
                  <c:y val="-8.068062779181853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bg1"/>
                        </a:solidFill>
                      </a:rPr>
                      <a:t>y = 0.1025x + 0.3174</a:t>
                    </a:r>
                    <a:br>
                      <a:rPr lang="en-US" b="1" baseline="0">
                        <a:solidFill>
                          <a:schemeClr val="bg1"/>
                        </a:solidFill>
                      </a:rPr>
                    </a:br>
                    <a:r>
                      <a:rPr lang="en-US" b="1" baseline="0">
                        <a:solidFill>
                          <a:schemeClr val="bg1"/>
                        </a:solidFill>
                      </a:rPr>
                      <a:t>R² = 0.9755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'Keto-CTA with change &amp;Ln-Values'!$AD$61:$AD$101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0.69314718055994495</c:v>
                </c:pt>
                <c:pt idx="6">
                  <c:v>0.69314718055994495</c:v>
                </c:pt>
                <c:pt idx="7">
                  <c:v>0.69314718055994495</c:v>
                </c:pt>
                <c:pt idx="8">
                  <c:v>1.0986122886681</c:v>
                </c:pt>
                <c:pt idx="9">
                  <c:v>1.0986122886681</c:v>
                </c:pt>
                <c:pt idx="10">
                  <c:v>1.3862943611198899</c:v>
                </c:pt>
                <c:pt idx="11">
                  <c:v>1.6094379124341001</c:v>
                </c:pt>
                <c:pt idx="12">
                  <c:v>1.6094379124341001</c:v>
                </c:pt>
                <c:pt idx="13">
                  <c:v>1.6094379124341001</c:v>
                </c:pt>
                <c:pt idx="14">
                  <c:v>1.7917594692280501</c:v>
                </c:pt>
                <c:pt idx="15">
                  <c:v>1.7917594692280501</c:v>
                </c:pt>
                <c:pt idx="16">
                  <c:v>1.7917594692280501</c:v>
                </c:pt>
                <c:pt idx="17">
                  <c:v>1.7917594692280501</c:v>
                </c:pt>
                <c:pt idx="18">
                  <c:v>2.07944154167983</c:v>
                </c:pt>
                <c:pt idx="19">
                  <c:v>2.1972245773362098</c:v>
                </c:pt>
                <c:pt idx="20">
                  <c:v>2.3978952727983698</c:v>
                </c:pt>
                <c:pt idx="21">
                  <c:v>2.3978952727983698</c:v>
                </c:pt>
                <c:pt idx="22">
                  <c:v>2.5649493574615301</c:v>
                </c:pt>
                <c:pt idx="23">
                  <c:v>2.5649493574615301</c:v>
                </c:pt>
                <c:pt idx="24">
                  <c:v>2.7080502011022101</c:v>
                </c:pt>
                <c:pt idx="25">
                  <c:v>2.8332133440562099</c:v>
                </c:pt>
                <c:pt idx="26">
                  <c:v>2.9444389791664398</c:v>
                </c:pt>
                <c:pt idx="27">
                  <c:v>2.9444389791664398</c:v>
                </c:pt>
                <c:pt idx="28">
                  <c:v>3.3322045101751998</c:v>
                </c:pt>
                <c:pt idx="29">
                  <c:v>3.3672958299864701</c:v>
                </c:pt>
                <c:pt idx="30">
                  <c:v>3.4657359027997199</c:v>
                </c:pt>
                <c:pt idx="31">
                  <c:v>3.4657359027997199</c:v>
                </c:pt>
                <c:pt idx="32">
                  <c:v>3.4657359027997199</c:v>
                </c:pt>
                <c:pt idx="33">
                  <c:v>3.5835189384561099</c:v>
                </c:pt>
                <c:pt idx="34">
                  <c:v>3.6109179126442199</c:v>
                </c:pt>
                <c:pt idx="35">
                  <c:v>3.7841896339182601</c:v>
                </c:pt>
                <c:pt idx="36">
                  <c:v>3.93182563272432</c:v>
                </c:pt>
                <c:pt idx="37">
                  <c:v>4.0604430105464102</c:v>
                </c:pt>
                <c:pt idx="38">
                  <c:v>4.1108738641733096</c:v>
                </c:pt>
                <c:pt idx="39">
                  <c:v>4.3694478524670197</c:v>
                </c:pt>
                <c:pt idx="40">
                  <c:v>5.3612921657094201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7-4ED2-84FF-5CA1D50D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768896"/>
        <c:axId val="1634770336"/>
      </c:lineChart>
      <c:catAx>
        <c:axId val="16347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70336"/>
        <c:crosses val="autoZero"/>
        <c:auto val="1"/>
        <c:lblAlgn val="ctr"/>
        <c:lblOffset val="100"/>
        <c:noMultiLvlLbl val="0"/>
      </c:catAx>
      <c:valAx>
        <c:axId val="16347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6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b="1">
                <a:solidFill>
                  <a:schemeClr val="bg1"/>
                </a:solidFill>
              </a:rPr>
              <a:t>Δ</a:t>
            </a:r>
            <a:r>
              <a:rPr lang="en-US" b="1" baseline="0">
                <a:solidFill>
                  <a:schemeClr val="bg1"/>
                </a:solidFill>
              </a:rPr>
              <a:t> CAC, visit2 - visit 1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51158358015274"/>
                  <c:y val="-0.4093607771145594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bg1"/>
                        </a:solidFill>
                      </a:rPr>
                      <a:t>y = 2.1083x - 20.919</a:t>
                    </a:r>
                    <a:br>
                      <a:rPr lang="en-US" baseline="0">
                        <a:solidFill>
                          <a:schemeClr val="bg1"/>
                        </a:solidFill>
                      </a:rPr>
                    </a:br>
                    <a:r>
                      <a:rPr lang="en-US" baseline="0">
                        <a:solidFill>
                          <a:schemeClr val="bg1"/>
                        </a:solidFill>
                      </a:rPr>
                      <a:t>R² = 0.4633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'Keto-CTA with change &amp;Ln-Values'!$X$56:$X$101</c:f>
              <c:numCache>
                <c:formatCode>General</c:formatCode>
                <c:ptCount val="46"/>
                <c:pt idx="0">
                  <c:v>-19</c:v>
                </c:pt>
                <c:pt idx="1">
                  <c:v>-7</c:v>
                </c:pt>
                <c:pt idx="2">
                  <c:v>-6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7</c:v>
                </c:pt>
                <c:pt idx="24">
                  <c:v>8</c:v>
                </c:pt>
                <c:pt idx="25">
                  <c:v>10</c:v>
                </c:pt>
                <c:pt idx="26">
                  <c:v>10</c:v>
                </c:pt>
                <c:pt idx="27">
                  <c:v>12</c:v>
                </c:pt>
                <c:pt idx="28">
                  <c:v>12</c:v>
                </c:pt>
                <c:pt idx="29">
                  <c:v>14</c:v>
                </c:pt>
                <c:pt idx="30">
                  <c:v>16</c:v>
                </c:pt>
                <c:pt idx="31">
                  <c:v>18</c:v>
                </c:pt>
                <c:pt idx="32">
                  <c:v>18</c:v>
                </c:pt>
                <c:pt idx="33">
                  <c:v>27</c:v>
                </c:pt>
                <c:pt idx="34">
                  <c:v>28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35</c:v>
                </c:pt>
                <c:pt idx="39">
                  <c:v>36</c:v>
                </c:pt>
                <c:pt idx="40">
                  <c:v>43</c:v>
                </c:pt>
                <c:pt idx="41">
                  <c:v>50</c:v>
                </c:pt>
                <c:pt idx="42">
                  <c:v>57</c:v>
                </c:pt>
                <c:pt idx="43">
                  <c:v>60</c:v>
                </c:pt>
                <c:pt idx="44">
                  <c:v>78</c:v>
                </c:pt>
                <c:pt idx="45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52-49F8-9ACC-1DFAB9BBF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25728"/>
        <c:axId val="77826688"/>
      </c:lineChart>
      <c:catAx>
        <c:axId val="7782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6688"/>
        <c:crosses val="autoZero"/>
        <c:auto val="1"/>
        <c:lblAlgn val="ctr"/>
        <c:lblOffset val="100"/>
        <c:noMultiLvlLbl val="0"/>
      </c:catAx>
      <c:valAx>
        <c:axId val="77826688"/>
        <c:scaling>
          <c:orientation val="minMax"/>
          <c:max val="210"/>
          <c:min val="-2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in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572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Cac1 vs. Cac0  --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 Cac1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Sheet1!$B$4:$B$43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37</c:v>
                </c:pt>
                <c:pt idx="7">
                  <c:v>9</c:v>
                </c:pt>
                <c:pt idx="8">
                  <c:v>27</c:v>
                </c:pt>
                <c:pt idx="9">
                  <c:v>63</c:v>
                </c:pt>
                <c:pt idx="10">
                  <c:v>4</c:v>
                </c:pt>
                <c:pt idx="11">
                  <c:v>0</c:v>
                </c:pt>
                <c:pt idx="12">
                  <c:v>21</c:v>
                </c:pt>
                <c:pt idx="13">
                  <c:v>10</c:v>
                </c:pt>
                <c:pt idx="14">
                  <c:v>3</c:v>
                </c:pt>
                <c:pt idx="15">
                  <c:v>12</c:v>
                </c:pt>
                <c:pt idx="16">
                  <c:v>39</c:v>
                </c:pt>
                <c:pt idx="17">
                  <c:v>2</c:v>
                </c:pt>
                <c:pt idx="18">
                  <c:v>21</c:v>
                </c:pt>
                <c:pt idx="19">
                  <c:v>69</c:v>
                </c:pt>
                <c:pt idx="20">
                  <c:v>81</c:v>
                </c:pt>
                <c:pt idx="21">
                  <c:v>53</c:v>
                </c:pt>
                <c:pt idx="22">
                  <c:v>66</c:v>
                </c:pt>
                <c:pt idx="23">
                  <c:v>80</c:v>
                </c:pt>
                <c:pt idx="24">
                  <c:v>191</c:v>
                </c:pt>
                <c:pt idx="25">
                  <c:v>217</c:v>
                </c:pt>
                <c:pt idx="26">
                  <c:v>17</c:v>
                </c:pt>
                <c:pt idx="27">
                  <c:v>222</c:v>
                </c:pt>
                <c:pt idx="28">
                  <c:v>211</c:v>
                </c:pt>
                <c:pt idx="29">
                  <c:v>101</c:v>
                </c:pt>
                <c:pt idx="30">
                  <c:v>88</c:v>
                </c:pt>
                <c:pt idx="31">
                  <c:v>388</c:v>
                </c:pt>
                <c:pt idx="32">
                  <c:v>119</c:v>
                </c:pt>
                <c:pt idx="33">
                  <c:v>295</c:v>
                </c:pt>
                <c:pt idx="34">
                  <c:v>199</c:v>
                </c:pt>
                <c:pt idx="35">
                  <c:v>556</c:v>
                </c:pt>
                <c:pt idx="36">
                  <c:v>47</c:v>
                </c:pt>
                <c:pt idx="37">
                  <c:v>265</c:v>
                </c:pt>
                <c:pt idx="38">
                  <c:v>194</c:v>
                </c:pt>
                <c:pt idx="39">
                  <c:v>221</c:v>
                </c:pt>
              </c:numCache>
            </c:numRef>
          </c:xVal>
          <c:yVal>
            <c:numRef>
              <c:f>Sheet1!$C$4:$C$43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37</c:v>
                </c:pt>
                <c:pt idx="7">
                  <c:v>13</c:v>
                </c:pt>
                <c:pt idx="8">
                  <c:v>41</c:v>
                </c:pt>
                <c:pt idx="9">
                  <c:v>67</c:v>
                </c:pt>
                <c:pt idx="10">
                  <c:v>8</c:v>
                </c:pt>
                <c:pt idx="11">
                  <c:v>3</c:v>
                </c:pt>
                <c:pt idx="12">
                  <c:v>21</c:v>
                </c:pt>
                <c:pt idx="13">
                  <c:v>18</c:v>
                </c:pt>
                <c:pt idx="14">
                  <c:v>5</c:v>
                </c:pt>
                <c:pt idx="15">
                  <c:v>17</c:v>
                </c:pt>
                <c:pt idx="16">
                  <c:v>49</c:v>
                </c:pt>
                <c:pt idx="17">
                  <c:v>7</c:v>
                </c:pt>
                <c:pt idx="18">
                  <c:v>31</c:v>
                </c:pt>
                <c:pt idx="19">
                  <c:v>105</c:v>
                </c:pt>
                <c:pt idx="20">
                  <c:v>97</c:v>
                </c:pt>
                <c:pt idx="21">
                  <c:v>103</c:v>
                </c:pt>
                <c:pt idx="22">
                  <c:v>97</c:v>
                </c:pt>
                <c:pt idx="23">
                  <c:v>81</c:v>
                </c:pt>
                <c:pt idx="24">
                  <c:v>218</c:v>
                </c:pt>
                <c:pt idx="25">
                  <c:v>245</c:v>
                </c:pt>
                <c:pt idx="26">
                  <c:v>35</c:v>
                </c:pt>
                <c:pt idx="27">
                  <c:v>253</c:v>
                </c:pt>
                <c:pt idx="28">
                  <c:v>254</c:v>
                </c:pt>
                <c:pt idx="29">
                  <c:v>103</c:v>
                </c:pt>
                <c:pt idx="30">
                  <c:v>100</c:v>
                </c:pt>
                <c:pt idx="31">
                  <c:v>400</c:v>
                </c:pt>
                <c:pt idx="32">
                  <c:v>124</c:v>
                </c:pt>
                <c:pt idx="33">
                  <c:v>300</c:v>
                </c:pt>
                <c:pt idx="34">
                  <c:v>230</c:v>
                </c:pt>
                <c:pt idx="35">
                  <c:v>768</c:v>
                </c:pt>
                <c:pt idx="36">
                  <c:v>54</c:v>
                </c:pt>
                <c:pt idx="37">
                  <c:v>322</c:v>
                </c:pt>
                <c:pt idx="38">
                  <c:v>272</c:v>
                </c:pt>
                <c:pt idx="39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6-4404-B6C2-8B8F3E96F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7920"/>
        <c:axId val="10065040"/>
      </c:scatterChart>
      <c:valAx>
        <c:axId val="1006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040"/>
        <c:crosses val="autoZero"/>
        <c:crossBetween val="midCat"/>
      </c:valAx>
      <c:valAx>
        <c:axId val="1006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LnCac1 vs. LnCac0  --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 LnCac1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Sheet1!$N$4:$N$43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1.6094379124341001</c:v>
                </c:pt>
                <c:pt idx="6">
                  <c:v>3.6375861597263799</c:v>
                </c:pt>
                <c:pt idx="7">
                  <c:v>2.3025850929940401</c:v>
                </c:pt>
                <c:pt idx="8">
                  <c:v>3.3322045101751998</c:v>
                </c:pt>
                <c:pt idx="9">
                  <c:v>4.1588830833596697</c:v>
                </c:pt>
                <c:pt idx="10">
                  <c:v>1.6094379124341001</c:v>
                </c:pt>
                <c:pt idx="11">
                  <c:v>0</c:v>
                </c:pt>
                <c:pt idx="12">
                  <c:v>3.0910424533583098</c:v>
                </c:pt>
                <c:pt idx="13">
                  <c:v>2.3978952727983698</c:v>
                </c:pt>
                <c:pt idx="14">
                  <c:v>1.3862943611198899</c:v>
                </c:pt>
                <c:pt idx="15">
                  <c:v>2.5649493574615301</c:v>
                </c:pt>
                <c:pt idx="16">
                  <c:v>3.68887945411393</c:v>
                </c:pt>
                <c:pt idx="17">
                  <c:v>1.0986122886681</c:v>
                </c:pt>
                <c:pt idx="18">
                  <c:v>3.0910424533583098</c:v>
                </c:pt>
                <c:pt idx="19">
                  <c:v>4.2484952420493496</c:v>
                </c:pt>
                <c:pt idx="20">
                  <c:v>4.4067192472642498</c:v>
                </c:pt>
                <c:pt idx="21">
                  <c:v>3.9889840465642701</c:v>
                </c:pt>
                <c:pt idx="22">
                  <c:v>4.2046926193909604</c:v>
                </c:pt>
                <c:pt idx="23">
                  <c:v>4.3944491546724302</c:v>
                </c:pt>
                <c:pt idx="24">
                  <c:v>5.2574953720277797</c:v>
                </c:pt>
                <c:pt idx="25">
                  <c:v>5.38449506278908</c:v>
                </c:pt>
                <c:pt idx="26">
                  <c:v>2.8903717578961601</c:v>
                </c:pt>
                <c:pt idx="27">
                  <c:v>5.40717177146011</c:v>
                </c:pt>
                <c:pt idx="28">
                  <c:v>5.3565862746720097</c:v>
                </c:pt>
                <c:pt idx="29">
                  <c:v>4.6249728132842698</c:v>
                </c:pt>
                <c:pt idx="30">
                  <c:v>4.4886363697321396</c:v>
                </c:pt>
                <c:pt idx="31">
                  <c:v>5.9635793436184397</c:v>
                </c:pt>
                <c:pt idx="32">
                  <c:v>4.7874917427820396</c:v>
                </c:pt>
                <c:pt idx="33">
                  <c:v>5.6903594543240601</c:v>
                </c:pt>
                <c:pt idx="34">
                  <c:v>5.2983173665480301</c:v>
                </c:pt>
                <c:pt idx="35">
                  <c:v>6.3225652399272798</c:v>
                </c:pt>
                <c:pt idx="36">
                  <c:v>3.8712010109078898</c:v>
                </c:pt>
                <c:pt idx="37">
                  <c:v>5.5834963087816902</c:v>
                </c:pt>
                <c:pt idx="38">
                  <c:v>5.2729995585637397</c:v>
                </c:pt>
                <c:pt idx="39">
                  <c:v>5.4026773818722704</c:v>
                </c:pt>
              </c:numCache>
            </c:numRef>
          </c:xVal>
          <c:yVal>
            <c:numRef>
              <c:f>Sheet1!$O$4:$O$43</c:f>
              <c:numCache>
                <c:formatCode>General</c:formatCode>
                <c:ptCount val="40"/>
                <c:pt idx="0">
                  <c:v>0.69314718055994495</c:v>
                </c:pt>
                <c:pt idx="1">
                  <c:v>1.0986122886681</c:v>
                </c:pt>
                <c:pt idx="2">
                  <c:v>0.69314718055994495</c:v>
                </c:pt>
                <c:pt idx="3">
                  <c:v>0.69314718055994495</c:v>
                </c:pt>
                <c:pt idx="4">
                  <c:v>0.69314718055994495</c:v>
                </c:pt>
                <c:pt idx="5">
                  <c:v>1.9459101490553099</c:v>
                </c:pt>
                <c:pt idx="6">
                  <c:v>3.6375861597263799</c:v>
                </c:pt>
                <c:pt idx="7">
                  <c:v>2.63905732961525</c:v>
                </c:pt>
                <c:pt idx="8">
                  <c:v>3.73766961828336</c:v>
                </c:pt>
                <c:pt idx="9">
                  <c:v>4.2195077051760999</c:v>
                </c:pt>
                <c:pt idx="10">
                  <c:v>2.1972245773362098</c:v>
                </c:pt>
                <c:pt idx="11">
                  <c:v>1.3862943611198899</c:v>
                </c:pt>
                <c:pt idx="12">
                  <c:v>3.0910424533583098</c:v>
                </c:pt>
                <c:pt idx="13">
                  <c:v>2.9444389791664398</c:v>
                </c:pt>
                <c:pt idx="14">
                  <c:v>1.7917594692280501</c:v>
                </c:pt>
                <c:pt idx="15">
                  <c:v>2.8903717578961601</c:v>
                </c:pt>
                <c:pt idx="16">
                  <c:v>3.9120230054281402</c:v>
                </c:pt>
                <c:pt idx="17">
                  <c:v>2.07944154167983</c:v>
                </c:pt>
                <c:pt idx="18">
                  <c:v>3.4657359027997199</c:v>
                </c:pt>
                <c:pt idx="19">
                  <c:v>4.6634390941120598</c:v>
                </c:pt>
                <c:pt idx="20">
                  <c:v>4.5849674786705696</c:v>
                </c:pt>
                <c:pt idx="21">
                  <c:v>4.6443908991413698</c:v>
                </c:pt>
                <c:pt idx="22">
                  <c:v>4.5849674786705696</c:v>
                </c:pt>
                <c:pt idx="23">
                  <c:v>4.4067192472642498</c:v>
                </c:pt>
                <c:pt idx="24">
                  <c:v>5.3890717298165001</c:v>
                </c:pt>
                <c:pt idx="25">
                  <c:v>5.5053315359323598</c:v>
                </c:pt>
                <c:pt idx="26">
                  <c:v>3.5835189384561099</c:v>
                </c:pt>
                <c:pt idx="27">
                  <c:v>5.5373342670185304</c:v>
                </c:pt>
                <c:pt idx="28">
                  <c:v>5.5412635451584196</c:v>
                </c:pt>
                <c:pt idx="29">
                  <c:v>4.6443908991413698</c:v>
                </c:pt>
                <c:pt idx="30">
                  <c:v>4.6151205168412597</c:v>
                </c:pt>
                <c:pt idx="31">
                  <c:v>5.9939614273065596</c:v>
                </c:pt>
                <c:pt idx="32">
                  <c:v>4.8283137373022997</c:v>
                </c:pt>
                <c:pt idx="33">
                  <c:v>5.7071102647488701</c:v>
                </c:pt>
                <c:pt idx="34">
                  <c:v>5.4424177105217897</c:v>
                </c:pt>
                <c:pt idx="35">
                  <c:v>6.6450909695056399</c:v>
                </c:pt>
                <c:pt idx="36">
                  <c:v>4.0073331852324703</c:v>
                </c:pt>
                <c:pt idx="37">
                  <c:v>5.7776523232226502</c:v>
                </c:pt>
                <c:pt idx="38">
                  <c:v>5.6094717951849598</c:v>
                </c:pt>
                <c:pt idx="39">
                  <c:v>5.5490760848952201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35-464B-8FC4-64F2F1077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4560"/>
        <c:axId val="10066000"/>
      </c:scatterChart>
      <c:valAx>
        <c:axId val="1006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6000"/>
        <c:crosses val="autoZero"/>
        <c:crossBetween val="midCat"/>
      </c:valAx>
      <c:valAx>
        <c:axId val="1006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Ln(Qangio0/Tcpv1) vs. Ln(Ncpv1/Tcpv1)  -- Qangio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Sheet1!$AC$3</c:f>
              <c:strCache>
                <c:ptCount val="1"/>
                <c:pt idx="0">
                  <c:v> Ln(Qangio0/Tcpv1)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Sheet1!$AB$4:$AB$12</c:f>
              <c:numCache>
                <c:formatCode>General</c:formatCode>
                <c:ptCount val="9"/>
                <c:pt idx="0">
                  <c:v>0</c:v>
                </c:pt>
                <c:pt idx="1">
                  <c:v>2.4882124379224999</c:v>
                </c:pt>
                <c:pt idx="2">
                  <c:v>1.52034688565469</c:v>
                </c:pt>
                <c:pt idx="3">
                  <c:v>1.03273169330855</c:v>
                </c:pt>
                <c:pt idx="4">
                  <c:v>1.5514594429923101</c:v>
                </c:pt>
                <c:pt idx="5">
                  <c:v>1.64544088952539</c:v>
                </c:pt>
                <c:pt idx="6">
                  <c:v>2.0252613349958501</c:v>
                </c:pt>
                <c:pt idx="7">
                  <c:v>1.6758708758462799</c:v>
                </c:pt>
                <c:pt idx="8">
                  <c:v>1.6460476580466601</c:v>
                </c:pt>
              </c:numCache>
            </c:numRef>
          </c:xVal>
          <c:yVal>
            <c:numRef>
              <c:f>Sheet1!$AC$4:$AC$12</c:f>
              <c:numCache>
                <c:formatCode>General</c:formatCode>
                <c:ptCount val="9"/>
                <c:pt idx="0">
                  <c:v>0</c:v>
                </c:pt>
                <c:pt idx="1">
                  <c:v>0.33457829666114203</c:v>
                </c:pt>
                <c:pt idx="2">
                  <c:v>0.40574307892301797</c:v>
                </c:pt>
                <c:pt idx="3">
                  <c:v>0.418685900214746</c:v>
                </c:pt>
                <c:pt idx="4">
                  <c:v>0.50531488358507504</c:v>
                </c:pt>
                <c:pt idx="5">
                  <c:v>0.63215996401166497</c:v>
                </c:pt>
                <c:pt idx="6">
                  <c:v>0.78529717602382298</c:v>
                </c:pt>
                <c:pt idx="7">
                  <c:v>1.02388176777984</c:v>
                </c:pt>
                <c:pt idx="8">
                  <c:v>1.04387225569244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3-4F7C-8942-E1BA3489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82272"/>
        <c:axId val="70880352"/>
      </c:scatterChart>
      <c:valAx>
        <c:axId val="7088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0352"/>
        <c:crosses val="autoZero"/>
        <c:crossBetween val="midCat"/>
      </c:valAx>
      <c:valAx>
        <c:axId val="7088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Ln(Ncpv0/Tcpv1) vs. Ln(Ncpv1/Tcpv1)  -- 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Sheet1!$AN$3</c:f>
              <c:strCache>
                <c:ptCount val="1"/>
                <c:pt idx="0">
                  <c:v> Ln(Ncpv0/Tcpv1)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Sheet1!$AM$4:$AM$91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0.64562591327694996</c:v>
                </c:pt>
                <c:pt idx="24">
                  <c:v>0.74161481610216595</c:v>
                </c:pt>
                <c:pt idx="25">
                  <c:v>1.03273169330855</c:v>
                </c:pt>
                <c:pt idx="26">
                  <c:v>1.1202953811560601</c:v>
                </c:pt>
                <c:pt idx="27">
                  <c:v>1.2789421261600999</c:v>
                </c:pt>
                <c:pt idx="28">
                  <c:v>1.2818357330449299</c:v>
                </c:pt>
                <c:pt idx="29">
                  <c:v>1.3492288580784999</c:v>
                </c:pt>
                <c:pt idx="30">
                  <c:v>1.36872571691756</c:v>
                </c:pt>
                <c:pt idx="31">
                  <c:v>1.39060781137361</c:v>
                </c:pt>
                <c:pt idx="32">
                  <c:v>1.4296662932734101</c:v>
                </c:pt>
                <c:pt idx="33">
                  <c:v>1.48040765269036</c:v>
                </c:pt>
                <c:pt idx="34">
                  <c:v>1.52034688565469</c:v>
                </c:pt>
                <c:pt idx="35">
                  <c:v>1.5514594429923101</c:v>
                </c:pt>
                <c:pt idx="36">
                  <c:v>1.6248089203106899</c:v>
                </c:pt>
                <c:pt idx="37">
                  <c:v>1.63082910241541</c:v>
                </c:pt>
                <c:pt idx="38">
                  <c:v>1.64544088952539</c:v>
                </c:pt>
                <c:pt idx="39">
                  <c:v>1.6460476580466601</c:v>
                </c:pt>
                <c:pt idx="40">
                  <c:v>1.65716931525529</c:v>
                </c:pt>
                <c:pt idx="41">
                  <c:v>1.6758708758462799</c:v>
                </c:pt>
                <c:pt idx="42">
                  <c:v>1.7479326951887999</c:v>
                </c:pt>
                <c:pt idx="43">
                  <c:v>1.7586325109295999</c:v>
                </c:pt>
                <c:pt idx="44">
                  <c:v>1.8625285401162599</c:v>
                </c:pt>
                <c:pt idx="45">
                  <c:v>1.8919225551290999</c:v>
                </c:pt>
                <c:pt idx="46">
                  <c:v>1.9203768470501399</c:v>
                </c:pt>
                <c:pt idx="47">
                  <c:v>2.0252613349958501</c:v>
                </c:pt>
                <c:pt idx="48">
                  <c:v>2.07405069304495</c:v>
                </c:pt>
                <c:pt idx="49">
                  <c:v>2.1372272687578402</c:v>
                </c:pt>
                <c:pt idx="50">
                  <c:v>2.1998321407432999</c:v>
                </c:pt>
                <c:pt idx="51">
                  <c:v>2.2918405537110602</c:v>
                </c:pt>
                <c:pt idx="52">
                  <c:v>2.3702437414678599</c:v>
                </c:pt>
                <c:pt idx="53">
                  <c:v>2.38569999970455</c:v>
                </c:pt>
                <c:pt idx="54">
                  <c:v>2.40794560865187</c:v>
                </c:pt>
                <c:pt idx="55">
                  <c:v>2.4882124379224999</c:v>
                </c:pt>
                <c:pt idx="56">
                  <c:v>2.53163708099442</c:v>
                </c:pt>
                <c:pt idx="57">
                  <c:v>2.57335669329751</c:v>
                </c:pt>
                <c:pt idx="58">
                  <c:v>2.6358052942288799</c:v>
                </c:pt>
                <c:pt idx="59">
                  <c:v>3.0445224377234199</c:v>
                </c:pt>
                <c:pt idx="60">
                  <c:v>3.09819385451594</c:v>
                </c:pt>
                <c:pt idx="61">
                  <c:v>3.2027464429383099</c:v>
                </c:pt>
                <c:pt idx="62">
                  <c:v>3.4452142670789199</c:v>
                </c:pt>
                <c:pt idx="63">
                  <c:v>3.49144425950993</c:v>
                </c:pt>
                <c:pt idx="64">
                  <c:v>3.5221499920798101</c:v>
                </c:pt>
                <c:pt idx="65">
                  <c:v>3.5457786104732598</c:v>
                </c:pt>
                <c:pt idx="66">
                  <c:v>3.55534806148941</c:v>
                </c:pt>
                <c:pt idx="67">
                  <c:v>3.6262438831224499</c:v>
                </c:pt>
                <c:pt idx="68">
                  <c:v>3.6418007874596698</c:v>
                </c:pt>
                <c:pt idx="69">
                  <c:v>3.7196511127806899</c:v>
                </c:pt>
                <c:pt idx="70">
                  <c:v>3.7455747977904799</c:v>
                </c:pt>
                <c:pt idx="71">
                  <c:v>3.7656911412060201</c:v>
                </c:pt>
                <c:pt idx="72">
                  <c:v>3.9889840465642701</c:v>
                </c:pt>
                <c:pt idx="73">
                  <c:v>4.5108595065168497</c:v>
                </c:pt>
                <c:pt idx="74">
                  <c:v>4.7471036818767498</c:v>
                </c:pt>
                <c:pt idx="75">
                  <c:v>4.7498887680031698</c:v>
                </c:pt>
                <c:pt idx="76">
                  <c:v>4.7621739347977501</c:v>
                </c:pt>
                <c:pt idx="77">
                  <c:v>5.1313769117923798</c:v>
                </c:pt>
                <c:pt idx="78">
                  <c:v>5.2882670306945299</c:v>
                </c:pt>
                <c:pt idx="79">
                  <c:v>5.4694656227438596</c:v>
                </c:pt>
                <c:pt idx="80">
                  <c:v>5.5412635451584196</c:v>
                </c:pt>
                <c:pt idx="81">
                  <c:v>5.5529595849216102</c:v>
                </c:pt>
                <c:pt idx="82">
                  <c:v>6.0890448754468398</c:v>
                </c:pt>
                <c:pt idx="83">
                  <c:v>6.2742911005833601</c:v>
                </c:pt>
                <c:pt idx="84">
                  <c:v>6.3279367837291902</c:v>
                </c:pt>
                <c:pt idx="85">
                  <c:v>6.7165947735209697</c:v>
                </c:pt>
                <c:pt idx="86">
                  <c:v>6.8916258970522497</c:v>
                </c:pt>
                <c:pt idx="87">
                  <c:v>6.9479370686149604</c:v>
                </c:pt>
              </c:numCache>
            </c:numRef>
          </c:xVal>
          <c:yVal>
            <c:numRef>
              <c:f>Sheet1!$AN$4:$AN$91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0.48779537649129101</c:v>
                </c:pt>
                <c:pt idx="24">
                  <c:v>0.60469828407027704</c:v>
                </c:pt>
                <c:pt idx="25">
                  <c:v>0.78278586761508795</c:v>
                </c:pt>
                <c:pt idx="26">
                  <c:v>1.07024702935071</c:v>
                </c:pt>
                <c:pt idx="27">
                  <c:v>1.0605093922464901</c:v>
                </c:pt>
                <c:pt idx="28">
                  <c:v>0.80602001123523803</c:v>
                </c:pt>
                <c:pt idx="29">
                  <c:v>1.03316010826186</c:v>
                </c:pt>
                <c:pt idx="30">
                  <c:v>1.1977204853190999</c:v>
                </c:pt>
                <c:pt idx="31">
                  <c:v>0.93059712752539303</c:v>
                </c:pt>
                <c:pt idx="32">
                  <c:v>1.3260021308637699</c:v>
                </c:pt>
                <c:pt idx="33">
                  <c:v>1.3813479371845601</c:v>
                </c:pt>
                <c:pt idx="34">
                  <c:v>1.39852122569791</c:v>
                </c:pt>
                <c:pt idx="35">
                  <c:v>1.34905402135528</c:v>
                </c:pt>
                <c:pt idx="36">
                  <c:v>1.37943719139375</c:v>
                </c:pt>
                <c:pt idx="37">
                  <c:v>1.4950275612563499</c:v>
                </c:pt>
                <c:pt idx="38">
                  <c:v>1.20350865950442</c:v>
                </c:pt>
                <c:pt idx="39">
                  <c:v>1.3429975553665601</c:v>
                </c:pt>
                <c:pt idx="40">
                  <c:v>1.45213411861543</c:v>
                </c:pt>
                <c:pt idx="41">
                  <c:v>1.3792917445916999</c:v>
                </c:pt>
                <c:pt idx="42">
                  <c:v>1.6181378223096401</c:v>
                </c:pt>
                <c:pt idx="43">
                  <c:v>1.6338564397822399</c:v>
                </c:pt>
                <c:pt idx="44">
                  <c:v>0</c:v>
                </c:pt>
                <c:pt idx="45">
                  <c:v>1.3233153813477501</c:v>
                </c:pt>
                <c:pt idx="46">
                  <c:v>1.0483504538872199</c:v>
                </c:pt>
                <c:pt idx="47">
                  <c:v>1.77278079739816</c:v>
                </c:pt>
                <c:pt idx="48">
                  <c:v>1.7154433813551699</c:v>
                </c:pt>
                <c:pt idx="49">
                  <c:v>1.7811613382362299</c:v>
                </c:pt>
                <c:pt idx="50">
                  <c:v>1.9778453275569099</c:v>
                </c:pt>
                <c:pt idx="51">
                  <c:v>2.2140458318263598</c:v>
                </c:pt>
                <c:pt idx="52">
                  <c:v>1.16315080980568</c:v>
                </c:pt>
                <c:pt idx="53">
                  <c:v>1.7616820139907701</c:v>
                </c:pt>
                <c:pt idx="54">
                  <c:v>1.0986122886681</c:v>
                </c:pt>
                <c:pt idx="55">
                  <c:v>1.69446055824125</c:v>
                </c:pt>
                <c:pt idx="56">
                  <c:v>2.3653859942330699</c:v>
                </c:pt>
                <c:pt idx="57">
                  <c:v>2.0213860254203402</c:v>
                </c:pt>
                <c:pt idx="58">
                  <c:v>2.3048552415285801</c:v>
                </c:pt>
                <c:pt idx="59">
                  <c:v>2.99573227355399</c:v>
                </c:pt>
                <c:pt idx="60">
                  <c:v>2.6200814281562499</c:v>
                </c:pt>
                <c:pt idx="61">
                  <c:v>3.0819099697950398</c:v>
                </c:pt>
                <c:pt idx="62">
                  <c:v>2.6497146240892402</c:v>
                </c:pt>
                <c:pt idx="63">
                  <c:v>3.19935315837933</c:v>
                </c:pt>
                <c:pt idx="64">
                  <c:v>2.9292871741458302</c:v>
                </c:pt>
                <c:pt idx="65">
                  <c:v>3.0445224377234199</c:v>
                </c:pt>
                <c:pt idx="66">
                  <c:v>2.25129179860649</c:v>
                </c:pt>
                <c:pt idx="67">
                  <c:v>3.5319471313248001</c:v>
                </c:pt>
                <c:pt idx="68">
                  <c:v>3.6062356298423</c:v>
                </c:pt>
                <c:pt idx="69">
                  <c:v>3.17805383034794</c:v>
                </c:pt>
                <c:pt idx="70">
                  <c:v>3.2958368660043198</c:v>
                </c:pt>
                <c:pt idx="71">
                  <c:v>3.4515224655496701</c:v>
                </c:pt>
                <c:pt idx="72">
                  <c:v>3.9889840465642701</c:v>
                </c:pt>
                <c:pt idx="73">
                  <c:v>3.5263605246161598</c:v>
                </c:pt>
                <c:pt idx="74">
                  <c:v>3.9702919135521202</c:v>
                </c:pt>
                <c:pt idx="75">
                  <c:v>3.9783456483592099</c:v>
                </c:pt>
                <c:pt idx="76">
                  <c:v>3.5115454388310199</c:v>
                </c:pt>
                <c:pt idx="77">
                  <c:v>3.9796816539019599</c:v>
                </c:pt>
                <c:pt idx="78">
                  <c:v>3.9219733362813098</c:v>
                </c:pt>
                <c:pt idx="79">
                  <c:v>4.4923746918427403</c:v>
                </c:pt>
                <c:pt idx="80">
                  <c:v>5.1532915944977704</c:v>
                </c:pt>
                <c:pt idx="81">
                  <c:v>5.4553211153576999</c:v>
                </c:pt>
                <c:pt idx="82">
                  <c:v>5.79727281774354</c:v>
                </c:pt>
                <c:pt idx="83">
                  <c:v>6.0632036442629502</c:v>
                </c:pt>
                <c:pt idx="84">
                  <c:v>5.4161004022044201</c:v>
                </c:pt>
                <c:pt idx="85">
                  <c:v>6.4876840184846101</c:v>
                </c:pt>
                <c:pt idx="86">
                  <c:v>6.42810527268459</c:v>
                </c:pt>
                <c:pt idx="87">
                  <c:v>5.5872486584002496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5-4D9F-A74E-D3972474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949456"/>
        <c:axId val="1331486352"/>
      </c:scatterChart>
      <c:valAx>
        <c:axId val="133394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86352"/>
        <c:crosses val="autoZero"/>
        <c:crossBetween val="midCat"/>
      </c:valAx>
      <c:valAx>
        <c:axId val="133148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4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Sheet1!$AZ$3</c:f>
              <c:strCache>
                <c:ptCount val="1"/>
                <c:pt idx="0">
                  <c:v> Ln(Ncpv1/Tcpv1)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Sheet1!$AY$4:$AY$91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0.60434755294913201</c:v>
                </c:pt>
                <c:pt idx="42">
                  <c:v>0.70525177241617598</c:v>
                </c:pt>
                <c:pt idx="43">
                  <c:v>0.798746673396588</c:v>
                </c:pt>
                <c:pt idx="44">
                  <c:v>0.95874993964594601</c:v>
                </c:pt>
                <c:pt idx="45">
                  <c:v>1.0255363083500399</c:v>
                </c:pt>
                <c:pt idx="46">
                  <c:v>1.1703391183363401</c:v>
                </c:pt>
                <c:pt idx="47">
                  <c:v>1.19087932757891</c:v>
                </c:pt>
                <c:pt idx="48">
                  <c:v>1.2250411655650899</c:v>
                </c:pt>
                <c:pt idx="49">
                  <c:v>1.2708903530879201</c:v>
                </c:pt>
                <c:pt idx="50">
                  <c:v>1.4264960082257101</c:v>
                </c:pt>
                <c:pt idx="51">
                  <c:v>1.44691898293632</c:v>
                </c:pt>
                <c:pt idx="52">
                  <c:v>1.45186932471789</c:v>
                </c:pt>
                <c:pt idx="53">
                  <c:v>1.49639771010204</c:v>
                </c:pt>
                <c:pt idx="54">
                  <c:v>1.5387669066382399</c:v>
                </c:pt>
                <c:pt idx="55">
                  <c:v>1.57537596297156</c:v>
                </c:pt>
                <c:pt idx="56">
                  <c:v>1.65510794926728</c:v>
                </c:pt>
                <c:pt idx="57">
                  <c:v>1.65844953602199</c:v>
                </c:pt>
                <c:pt idx="58">
                  <c:v>1.6672206434474399</c:v>
                </c:pt>
                <c:pt idx="59">
                  <c:v>1.68639895357022</c:v>
                </c:pt>
                <c:pt idx="60">
                  <c:v>1.7369116687283801</c:v>
                </c:pt>
                <c:pt idx="61">
                  <c:v>1.74256922503728</c:v>
                </c:pt>
                <c:pt idx="62">
                  <c:v>1.77046147154912</c:v>
                </c:pt>
                <c:pt idx="63">
                  <c:v>1.9195928407379399</c:v>
                </c:pt>
                <c:pt idx="64">
                  <c:v>1.9878743481543399</c:v>
                </c:pt>
                <c:pt idx="65">
                  <c:v>2.0064867505111001</c:v>
                </c:pt>
                <c:pt idx="66">
                  <c:v>2.0357721724029401</c:v>
                </c:pt>
                <c:pt idx="67">
                  <c:v>2.0537991110664899</c:v>
                </c:pt>
                <c:pt idx="68">
                  <c:v>2.0838565598889498</c:v>
                </c:pt>
                <c:pt idx="69">
                  <c:v>2.1690537003695201</c:v>
                </c:pt>
                <c:pt idx="70">
                  <c:v>2.2054012377734602</c:v>
                </c:pt>
                <c:pt idx="71">
                  <c:v>2.4397862145075302</c:v>
                </c:pt>
                <c:pt idx="72">
                  <c:v>2.61449947883359</c:v>
                </c:pt>
                <c:pt idx="73">
                  <c:v>2.6408414514087601</c:v>
                </c:pt>
                <c:pt idx="74">
                  <c:v>2.99573227355399</c:v>
                </c:pt>
                <c:pt idx="75">
                  <c:v>3.21523283358969</c:v>
                </c:pt>
                <c:pt idx="76">
                  <c:v>3.3186357809691298</c:v>
                </c:pt>
                <c:pt idx="77">
                  <c:v>3.3217817174990998</c:v>
                </c:pt>
                <c:pt idx="78">
                  <c:v>3.37953588488097</c:v>
                </c:pt>
                <c:pt idx="79">
                  <c:v>3.5502329608226399</c:v>
                </c:pt>
                <c:pt idx="80">
                  <c:v>3.7455747977904799</c:v>
                </c:pt>
                <c:pt idx="81">
                  <c:v>4.1190371748124699</c:v>
                </c:pt>
                <c:pt idx="82">
                  <c:v>4.1298189504157596</c:v>
                </c:pt>
                <c:pt idx="83">
                  <c:v>4.2532458448079504</c:v>
                </c:pt>
                <c:pt idx="84">
                  <c:v>4.2626798770413101</c:v>
                </c:pt>
                <c:pt idx="85">
                  <c:v>4.2979654470474404</c:v>
                </c:pt>
                <c:pt idx="86">
                  <c:v>5.4553211153576999</c:v>
                </c:pt>
                <c:pt idx="87">
                  <c:v>5.5834963087816902</c:v>
                </c:pt>
              </c:numCache>
            </c:numRef>
          </c:xVal>
          <c:yVal>
            <c:numRef>
              <c:f>Sheet1!$AZ$4:$AZ$91</c:f>
              <c:numCache>
                <c:formatCode>General</c:formatCode>
                <c:ptCount val="88"/>
                <c:pt idx="0">
                  <c:v>0</c:v>
                </c:pt>
                <c:pt idx="1">
                  <c:v>4.7621739347977501</c:v>
                </c:pt>
                <c:pt idx="2">
                  <c:v>2.40794560865187</c:v>
                </c:pt>
                <c:pt idx="3">
                  <c:v>3.7455747977904799</c:v>
                </c:pt>
                <c:pt idx="4">
                  <c:v>3.2027464429383099</c:v>
                </c:pt>
                <c:pt idx="5">
                  <c:v>6.7165947735209697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6.3279367837291902</c:v>
                </c:pt>
                <c:pt idx="11">
                  <c:v>0</c:v>
                </c:pt>
                <c:pt idx="12">
                  <c:v>0</c:v>
                </c:pt>
                <c:pt idx="13">
                  <c:v>1.8625285401162599</c:v>
                </c:pt>
                <c:pt idx="14">
                  <c:v>0</c:v>
                </c:pt>
                <c:pt idx="15">
                  <c:v>0</c:v>
                </c:pt>
                <c:pt idx="16">
                  <c:v>3.55534806148941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3.9889840465642701</c:v>
                </c:pt>
                <c:pt idx="21">
                  <c:v>0</c:v>
                </c:pt>
                <c:pt idx="22">
                  <c:v>5.2882670306945299</c:v>
                </c:pt>
                <c:pt idx="23">
                  <c:v>4.5108595065168497</c:v>
                </c:pt>
                <c:pt idx="24">
                  <c:v>0</c:v>
                </c:pt>
                <c:pt idx="25">
                  <c:v>0</c:v>
                </c:pt>
                <c:pt idx="26">
                  <c:v>3.5457786104732598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5.5412635451584196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6.8916258970522497</c:v>
                </c:pt>
                <c:pt idx="36">
                  <c:v>6.9479370686149604</c:v>
                </c:pt>
                <c:pt idx="37">
                  <c:v>0</c:v>
                </c:pt>
                <c:pt idx="38">
                  <c:v>3.6262438831224499</c:v>
                </c:pt>
                <c:pt idx="39">
                  <c:v>6.2742911005833601</c:v>
                </c:pt>
                <c:pt idx="40">
                  <c:v>6.0890448754468398</c:v>
                </c:pt>
                <c:pt idx="41">
                  <c:v>0.64562591327694996</c:v>
                </c:pt>
                <c:pt idx="42">
                  <c:v>0.74161481610216595</c:v>
                </c:pt>
                <c:pt idx="43">
                  <c:v>1.03273169330855</c:v>
                </c:pt>
                <c:pt idx="44">
                  <c:v>1.2818357330449299</c:v>
                </c:pt>
                <c:pt idx="45">
                  <c:v>1.39060781137361</c:v>
                </c:pt>
                <c:pt idx="46">
                  <c:v>1.2789421261600999</c:v>
                </c:pt>
                <c:pt idx="47">
                  <c:v>1.1202953811560601</c:v>
                </c:pt>
                <c:pt idx="48">
                  <c:v>1.64544088952539</c:v>
                </c:pt>
                <c:pt idx="49">
                  <c:v>1.36872571691756</c:v>
                </c:pt>
                <c:pt idx="50">
                  <c:v>1.6758708758462799</c:v>
                </c:pt>
                <c:pt idx="51">
                  <c:v>1.4296662932734101</c:v>
                </c:pt>
                <c:pt idx="52">
                  <c:v>1.5514594429923101</c:v>
                </c:pt>
                <c:pt idx="53">
                  <c:v>1.3492288580784999</c:v>
                </c:pt>
                <c:pt idx="54">
                  <c:v>1.6460476580466601</c:v>
                </c:pt>
                <c:pt idx="55">
                  <c:v>1.8919225551290999</c:v>
                </c:pt>
                <c:pt idx="56">
                  <c:v>1.48040765269036</c:v>
                </c:pt>
                <c:pt idx="57">
                  <c:v>1.52034688565469</c:v>
                </c:pt>
                <c:pt idx="58">
                  <c:v>1.7586325109295999</c:v>
                </c:pt>
                <c:pt idx="59">
                  <c:v>2.3702437414678599</c:v>
                </c:pt>
                <c:pt idx="60">
                  <c:v>1.7479326951887999</c:v>
                </c:pt>
                <c:pt idx="61">
                  <c:v>1.65716931525529</c:v>
                </c:pt>
                <c:pt idx="62">
                  <c:v>2.07405069304495</c:v>
                </c:pt>
                <c:pt idx="63">
                  <c:v>1.63082910241541</c:v>
                </c:pt>
                <c:pt idx="64">
                  <c:v>1.9203768470501399</c:v>
                </c:pt>
                <c:pt idx="65">
                  <c:v>2.0252613349958501</c:v>
                </c:pt>
                <c:pt idx="66">
                  <c:v>1.6248089203106899</c:v>
                </c:pt>
                <c:pt idx="67">
                  <c:v>2.57335669329751</c:v>
                </c:pt>
                <c:pt idx="68">
                  <c:v>2.1998321407432999</c:v>
                </c:pt>
                <c:pt idx="69">
                  <c:v>2.38569999970455</c:v>
                </c:pt>
                <c:pt idx="70">
                  <c:v>2.1372272687578402</c:v>
                </c:pt>
                <c:pt idx="71">
                  <c:v>2.2918405537110602</c:v>
                </c:pt>
                <c:pt idx="72">
                  <c:v>2.4882124379224999</c:v>
                </c:pt>
                <c:pt idx="73">
                  <c:v>2.53163708099442</c:v>
                </c:pt>
                <c:pt idx="74">
                  <c:v>3.0445224377234199</c:v>
                </c:pt>
                <c:pt idx="75">
                  <c:v>3.4452142670789199</c:v>
                </c:pt>
                <c:pt idx="76">
                  <c:v>3.49144425950993</c:v>
                </c:pt>
                <c:pt idx="77">
                  <c:v>3.7196511127806899</c:v>
                </c:pt>
                <c:pt idx="78">
                  <c:v>2.6358052942288799</c:v>
                </c:pt>
                <c:pt idx="79">
                  <c:v>3.7656911412060201</c:v>
                </c:pt>
                <c:pt idx="80">
                  <c:v>3.5221499920798101</c:v>
                </c:pt>
                <c:pt idx="81">
                  <c:v>3.09819385451594</c:v>
                </c:pt>
                <c:pt idx="82">
                  <c:v>4.7498887680031698</c:v>
                </c:pt>
                <c:pt idx="83">
                  <c:v>4.7471036818767498</c:v>
                </c:pt>
                <c:pt idx="84">
                  <c:v>5.1313769117923798</c:v>
                </c:pt>
                <c:pt idx="85">
                  <c:v>3.6418007874596698</c:v>
                </c:pt>
                <c:pt idx="86">
                  <c:v>5.5529595849216102</c:v>
                </c:pt>
                <c:pt idx="87">
                  <c:v>5.4694656227438596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4-40F2-814D-6E5CD889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448"/>
        <c:axId val="4228928"/>
      </c:scatterChart>
      <c:valAx>
        <c:axId val="422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928"/>
        <c:crosses val="autoZero"/>
        <c:crossBetween val="midCat"/>
      </c:valAx>
      <c:valAx>
        <c:axId val="42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Ln(Ncpv0/Tcpv1) vs. Ln(Ncpv1/Tcpv0)  -- 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Sheet1!$BN$3</c:f>
              <c:strCache>
                <c:ptCount val="1"/>
                <c:pt idx="0">
                  <c:v> Ln(Ncpv0/Tcpv1)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Sheet1!$BM$28:$BM$91</c:f>
              <c:numCache>
                <c:formatCode>General</c:formatCode>
                <c:ptCount val="64"/>
                <c:pt idx="0">
                  <c:v>0.78740583555654897</c:v>
                </c:pt>
                <c:pt idx="1">
                  <c:v>0.85679629926735001</c:v>
                </c:pt>
                <c:pt idx="2">
                  <c:v>1.0516369203547</c:v>
                </c:pt>
                <c:pt idx="3">
                  <c:v>1.47693868917697</c:v>
                </c:pt>
                <c:pt idx="4">
                  <c:v>1.5070558055305301</c:v>
                </c:pt>
                <c:pt idx="5">
                  <c:v>1.8664917585551599</c:v>
                </c:pt>
                <c:pt idx="6">
                  <c:v>3.0349529867072702</c:v>
                </c:pt>
                <c:pt idx="7">
                  <c:v>1.39952498410652</c:v>
                </c:pt>
                <c:pt idx="8">
                  <c:v>1.24381871287313</c:v>
                </c:pt>
                <c:pt idx="9">
                  <c:v>0</c:v>
                </c:pt>
                <c:pt idx="10">
                  <c:v>3.0155349008501702</c:v>
                </c:pt>
                <c:pt idx="11">
                  <c:v>1.4466798343043099</c:v>
                </c:pt>
                <c:pt idx="12">
                  <c:v>1.67023139136967</c:v>
                </c:pt>
                <c:pt idx="13">
                  <c:v>2.1784446826846202</c:v>
                </c:pt>
                <c:pt idx="14">
                  <c:v>1.5546296759391001</c:v>
                </c:pt>
                <c:pt idx="15">
                  <c:v>1.8581058231693299</c:v>
                </c:pt>
                <c:pt idx="16">
                  <c:v>1.6605287116302101</c:v>
                </c:pt>
                <c:pt idx="17">
                  <c:v>1.7270486679625701</c:v>
                </c:pt>
                <c:pt idx="18">
                  <c:v>2.3157631853746001</c:v>
                </c:pt>
                <c:pt idx="19">
                  <c:v>1.76171768432554</c:v>
                </c:pt>
                <c:pt idx="20">
                  <c:v>1.7888482590205901</c:v>
                </c:pt>
                <c:pt idx="21">
                  <c:v>1.9617834982116</c:v>
                </c:pt>
                <c:pt idx="22">
                  <c:v>2.0680128458562099</c:v>
                </c:pt>
                <c:pt idx="23">
                  <c:v>1.8700720726638</c:v>
                </c:pt>
                <c:pt idx="24">
                  <c:v>1.79292974437624</c:v>
                </c:pt>
                <c:pt idx="25">
                  <c:v>3.47978765625537</c:v>
                </c:pt>
                <c:pt idx="26">
                  <c:v>2.1326009099599301</c:v>
                </c:pt>
                <c:pt idx="27">
                  <c:v>2.8247744754103499</c:v>
                </c:pt>
                <c:pt idx="28">
                  <c:v>2.2684372055614799</c:v>
                </c:pt>
                <c:pt idx="29">
                  <c:v>2.5822300279011698</c:v>
                </c:pt>
                <c:pt idx="30">
                  <c:v>2.3090538012311099</c:v>
                </c:pt>
                <c:pt idx="31">
                  <c:v>2.60783348916372</c:v>
                </c:pt>
                <c:pt idx="32">
                  <c:v>2.51943436703686</c:v>
                </c:pt>
                <c:pt idx="33">
                  <c:v>0</c:v>
                </c:pt>
                <c:pt idx="34">
                  <c:v>3.7308436532129599</c:v>
                </c:pt>
                <c:pt idx="35">
                  <c:v>2.81090758654191</c:v>
                </c:pt>
                <c:pt idx="36">
                  <c:v>4.62005879848184</c:v>
                </c:pt>
                <c:pt idx="37">
                  <c:v>4.0285931846593197</c:v>
                </c:pt>
                <c:pt idx="38">
                  <c:v>4.3524261648975902</c:v>
                </c:pt>
                <c:pt idx="39">
                  <c:v>3.0445224377234199</c:v>
                </c:pt>
                <c:pt idx="40">
                  <c:v>0</c:v>
                </c:pt>
                <c:pt idx="41">
                  <c:v>0</c:v>
                </c:pt>
                <c:pt idx="42">
                  <c:v>3.8658101622730099</c:v>
                </c:pt>
                <c:pt idx="43">
                  <c:v>3.6119372807243302</c:v>
                </c:pt>
                <c:pt idx="44">
                  <c:v>0</c:v>
                </c:pt>
                <c:pt idx="45">
                  <c:v>3.8652308439213798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4.3340174154875202</c:v>
                </c:pt>
                <c:pt idx="50">
                  <c:v>0</c:v>
                </c:pt>
                <c:pt idx="51">
                  <c:v>5.0326142008150301</c:v>
                </c:pt>
                <c:pt idx="52">
                  <c:v>4.9028025892930396</c:v>
                </c:pt>
                <c:pt idx="53">
                  <c:v>5.4175807873748498</c:v>
                </c:pt>
                <c:pt idx="54">
                  <c:v>0</c:v>
                </c:pt>
                <c:pt idx="55">
                  <c:v>6.5652649700353596</c:v>
                </c:pt>
                <c:pt idx="56">
                  <c:v>0</c:v>
                </c:pt>
                <c:pt idx="57">
                  <c:v>0</c:v>
                </c:pt>
                <c:pt idx="58">
                  <c:v>5.5529595849216102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xVal>
          <c:yVal>
            <c:numRef>
              <c:f>Sheet1!$BN$28:$BN$91</c:f>
              <c:numCache>
                <c:formatCode>General</c:formatCode>
                <c:ptCount val="64"/>
                <c:pt idx="0">
                  <c:v>0.48779537649129101</c:v>
                </c:pt>
                <c:pt idx="1">
                  <c:v>0.60469828407027704</c:v>
                </c:pt>
                <c:pt idx="2">
                  <c:v>0.78278586761508795</c:v>
                </c:pt>
                <c:pt idx="3">
                  <c:v>0.80602001123523803</c:v>
                </c:pt>
                <c:pt idx="4">
                  <c:v>0.93059712752539303</c:v>
                </c:pt>
                <c:pt idx="5">
                  <c:v>1.03316010826186</c:v>
                </c:pt>
                <c:pt idx="6">
                  <c:v>1.0483504538872199</c:v>
                </c:pt>
                <c:pt idx="7">
                  <c:v>1.0605093922464901</c:v>
                </c:pt>
                <c:pt idx="8">
                  <c:v>1.07024702935071</c:v>
                </c:pt>
                <c:pt idx="9">
                  <c:v>1.0986122886681</c:v>
                </c:pt>
                <c:pt idx="10">
                  <c:v>1.16315080980568</c:v>
                </c:pt>
                <c:pt idx="11">
                  <c:v>1.1977204853190999</c:v>
                </c:pt>
                <c:pt idx="12">
                  <c:v>1.20350865950442</c:v>
                </c:pt>
                <c:pt idx="13">
                  <c:v>1.3233153813477501</c:v>
                </c:pt>
                <c:pt idx="14">
                  <c:v>1.3260021308637699</c:v>
                </c:pt>
                <c:pt idx="15">
                  <c:v>1.3429975553665601</c:v>
                </c:pt>
                <c:pt idx="16">
                  <c:v>1.34905402135528</c:v>
                </c:pt>
                <c:pt idx="17">
                  <c:v>1.3792917445916999</c:v>
                </c:pt>
                <c:pt idx="18">
                  <c:v>1.37943719139375</c:v>
                </c:pt>
                <c:pt idx="19">
                  <c:v>1.3813479371845601</c:v>
                </c:pt>
                <c:pt idx="20">
                  <c:v>1.39852122569791</c:v>
                </c:pt>
                <c:pt idx="21">
                  <c:v>1.45213411861543</c:v>
                </c:pt>
                <c:pt idx="22">
                  <c:v>1.4950275612563499</c:v>
                </c:pt>
                <c:pt idx="23">
                  <c:v>1.6181378223096401</c:v>
                </c:pt>
                <c:pt idx="24">
                  <c:v>1.6338564397822399</c:v>
                </c:pt>
                <c:pt idx="25">
                  <c:v>1.69446055824125</c:v>
                </c:pt>
                <c:pt idx="26">
                  <c:v>1.7154433813551699</c:v>
                </c:pt>
                <c:pt idx="27">
                  <c:v>1.7616820139907701</c:v>
                </c:pt>
                <c:pt idx="28">
                  <c:v>1.77278079739816</c:v>
                </c:pt>
                <c:pt idx="29">
                  <c:v>1.7811613382362299</c:v>
                </c:pt>
                <c:pt idx="30">
                  <c:v>1.9778453275569099</c:v>
                </c:pt>
                <c:pt idx="31">
                  <c:v>2.0213860254203402</c:v>
                </c:pt>
                <c:pt idx="32">
                  <c:v>2.2140458318263598</c:v>
                </c:pt>
                <c:pt idx="33">
                  <c:v>2.25129179860649</c:v>
                </c:pt>
                <c:pt idx="34">
                  <c:v>2.3048552415285801</c:v>
                </c:pt>
                <c:pt idx="35">
                  <c:v>2.3653859942330699</c:v>
                </c:pt>
                <c:pt idx="36">
                  <c:v>2.6200814281562499</c:v>
                </c:pt>
                <c:pt idx="37">
                  <c:v>2.6497146240892402</c:v>
                </c:pt>
                <c:pt idx="38">
                  <c:v>2.9292871741458302</c:v>
                </c:pt>
                <c:pt idx="39">
                  <c:v>2.99573227355399</c:v>
                </c:pt>
                <c:pt idx="40">
                  <c:v>3.0445224377234199</c:v>
                </c:pt>
                <c:pt idx="41">
                  <c:v>3.0819099697950398</c:v>
                </c:pt>
                <c:pt idx="42">
                  <c:v>3.17805383034794</c:v>
                </c:pt>
                <c:pt idx="43">
                  <c:v>3.19935315837933</c:v>
                </c:pt>
                <c:pt idx="44">
                  <c:v>3.2958368660043198</c:v>
                </c:pt>
                <c:pt idx="45">
                  <c:v>3.4515224655496701</c:v>
                </c:pt>
                <c:pt idx="46">
                  <c:v>3.5115454388310199</c:v>
                </c:pt>
                <c:pt idx="47">
                  <c:v>3.5263605246161598</c:v>
                </c:pt>
                <c:pt idx="48">
                  <c:v>3.5319471313248001</c:v>
                </c:pt>
                <c:pt idx="49">
                  <c:v>3.6062356298423</c:v>
                </c:pt>
                <c:pt idx="50">
                  <c:v>3.9219733362813098</c:v>
                </c:pt>
                <c:pt idx="51">
                  <c:v>3.9702919135521202</c:v>
                </c:pt>
                <c:pt idx="52">
                  <c:v>3.9783456483592099</c:v>
                </c:pt>
                <c:pt idx="53">
                  <c:v>3.9796816539019599</c:v>
                </c:pt>
                <c:pt idx="54">
                  <c:v>3.9889840465642701</c:v>
                </c:pt>
                <c:pt idx="55">
                  <c:v>4.4923746918427403</c:v>
                </c:pt>
                <c:pt idx="56">
                  <c:v>5.1532915944977704</c:v>
                </c:pt>
                <c:pt idx="57">
                  <c:v>5.4161004022044201</c:v>
                </c:pt>
                <c:pt idx="58">
                  <c:v>5.4553211153576999</c:v>
                </c:pt>
                <c:pt idx="59">
                  <c:v>5.5872486584002496</c:v>
                </c:pt>
                <c:pt idx="60">
                  <c:v>5.79727281774354</c:v>
                </c:pt>
                <c:pt idx="61">
                  <c:v>6.0632036442629502</c:v>
                </c:pt>
                <c:pt idx="62">
                  <c:v>6.42810527268459</c:v>
                </c:pt>
                <c:pt idx="63">
                  <c:v>6.4876840184846101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1-4656-9801-40A6C172B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07776"/>
        <c:axId val="136606816"/>
      </c:scatterChart>
      <c:valAx>
        <c:axId val="13660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6816"/>
        <c:crosses val="autoZero"/>
        <c:crossBetween val="midCat"/>
      </c:valAx>
      <c:valAx>
        <c:axId val="1366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LnNcpv1 vs. LnNcpv0  -- 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Sheet1!$BZ$3</c:f>
              <c:strCache>
                <c:ptCount val="1"/>
                <c:pt idx="0">
                  <c:v> LnNcpv1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Sheet1!$BY$4:$BY$91</c:f>
              <c:numCache>
                <c:formatCode>General</c:formatCode>
                <c:ptCount val="88"/>
                <c:pt idx="0">
                  <c:v>2.33214389523559</c:v>
                </c:pt>
                <c:pt idx="1">
                  <c:v>2.0149030205422598</c:v>
                </c:pt>
                <c:pt idx="2">
                  <c:v>1.0296194171811499</c:v>
                </c:pt>
                <c:pt idx="3">
                  <c:v>2.8094026953624902</c:v>
                </c:pt>
                <c:pt idx="4">
                  <c:v>2.43361335540044</c:v>
                </c:pt>
                <c:pt idx="5">
                  <c:v>3.8999504241938698</c:v>
                </c:pt>
                <c:pt idx="6">
                  <c:v>4.1987045775463399</c:v>
                </c:pt>
                <c:pt idx="7">
                  <c:v>1.5686159179138399</c:v>
                </c:pt>
                <c:pt idx="8">
                  <c:v>3.7796338173824</c:v>
                </c:pt>
                <c:pt idx="9">
                  <c:v>3.1223649244873499</c:v>
                </c:pt>
                <c:pt idx="10">
                  <c:v>1.77495235091167</c:v>
                </c:pt>
                <c:pt idx="11">
                  <c:v>3.3603753871419002</c:v>
                </c:pt>
                <c:pt idx="12">
                  <c:v>3.15273602236365</c:v>
                </c:pt>
                <c:pt idx="13">
                  <c:v>3.31418600467252</c:v>
                </c:pt>
                <c:pt idx="14">
                  <c:v>0</c:v>
                </c:pt>
                <c:pt idx="15">
                  <c:v>1.9878743481543399</c:v>
                </c:pt>
                <c:pt idx="16">
                  <c:v>2.1972245773362098</c:v>
                </c:pt>
                <c:pt idx="17">
                  <c:v>0</c:v>
                </c:pt>
                <c:pt idx="18">
                  <c:v>3.8437441646748498</c:v>
                </c:pt>
                <c:pt idx="19">
                  <c:v>2.6741486494265199</c:v>
                </c:pt>
                <c:pt idx="20">
                  <c:v>0.993251773010283</c:v>
                </c:pt>
                <c:pt idx="21">
                  <c:v>3.0910424533583098</c:v>
                </c:pt>
                <c:pt idx="22">
                  <c:v>1.90210752639692</c:v>
                </c:pt>
                <c:pt idx="23">
                  <c:v>2.8622008809294601</c:v>
                </c:pt>
                <c:pt idx="24">
                  <c:v>0</c:v>
                </c:pt>
                <c:pt idx="25">
                  <c:v>3.1904763503465001</c:v>
                </c:pt>
                <c:pt idx="26">
                  <c:v>1.84054963339748</c:v>
                </c:pt>
                <c:pt idx="27">
                  <c:v>4.6259527251706096</c:v>
                </c:pt>
                <c:pt idx="28">
                  <c:v>2.38876278923509</c:v>
                </c:pt>
                <c:pt idx="29">
                  <c:v>1.45861502269951</c:v>
                </c:pt>
                <c:pt idx="30">
                  <c:v>0</c:v>
                </c:pt>
                <c:pt idx="31">
                  <c:v>2.7972813348301502</c:v>
                </c:pt>
                <c:pt idx="32">
                  <c:v>3.2188758248682001</c:v>
                </c:pt>
                <c:pt idx="33">
                  <c:v>3.37758751602302</c:v>
                </c:pt>
                <c:pt idx="34">
                  <c:v>3.0773122605464098</c:v>
                </c:pt>
                <c:pt idx="35">
                  <c:v>1.16315080980568</c:v>
                </c:pt>
                <c:pt idx="36">
                  <c:v>2.5952547069568599</c:v>
                </c:pt>
                <c:pt idx="37">
                  <c:v>3.2027464429383099</c:v>
                </c:pt>
                <c:pt idx="38">
                  <c:v>2.9014215940827399</c:v>
                </c:pt>
                <c:pt idx="39">
                  <c:v>3.2268439945173699</c:v>
                </c:pt>
                <c:pt idx="40">
                  <c:v>0.87546873735389896</c:v>
                </c:pt>
                <c:pt idx="41">
                  <c:v>3.6296600944539601</c:v>
                </c:pt>
                <c:pt idx="42">
                  <c:v>2.9907197317304401</c:v>
                </c:pt>
                <c:pt idx="43">
                  <c:v>1.5686159179138399</c:v>
                </c:pt>
                <c:pt idx="44">
                  <c:v>3.0445224377234199</c:v>
                </c:pt>
                <c:pt idx="45">
                  <c:v>4.1399550734741499</c:v>
                </c:pt>
                <c:pt idx="46">
                  <c:v>3.3178157727231001</c:v>
                </c:pt>
                <c:pt idx="47">
                  <c:v>3.7062280924485398</c:v>
                </c:pt>
                <c:pt idx="48">
                  <c:v>3.3068867021909099</c:v>
                </c:pt>
                <c:pt idx="49">
                  <c:v>3.0819099697950398</c:v>
                </c:pt>
                <c:pt idx="50">
                  <c:v>4.2209772131554599</c:v>
                </c:pt>
                <c:pt idx="51">
                  <c:v>4.5612182984588996</c:v>
                </c:pt>
                <c:pt idx="52">
                  <c:v>4.4284330074880298</c:v>
                </c:pt>
                <c:pt idx="53">
                  <c:v>3.7704594411063499</c:v>
                </c:pt>
                <c:pt idx="54">
                  <c:v>1.68639895357022</c:v>
                </c:pt>
                <c:pt idx="55">
                  <c:v>2.6246685921631498</c:v>
                </c:pt>
                <c:pt idx="56">
                  <c:v>3.8351419610921802</c:v>
                </c:pt>
                <c:pt idx="57">
                  <c:v>3.99452422693988</c:v>
                </c:pt>
                <c:pt idx="58">
                  <c:v>4.9444954915917103</c:v>
                </c:pt>
                <c:pt idx="59">
                  <c:v>5.1503972364714103</c:v>
                </c:pt>
                <c:pt idx="60">
                  <c:v>4.0018637094279299</c:v>
                </c:pt>
                <c:pt idx="61">
                  <c:v>3.9721769282478898</c:v>
                </c:pt>
                <c:pt idx="62">
                  <c:v>5.1071568610868701</c:v>
                </c:pt>
                <c:pt idx="63">
                  <c:v>5.6740103163225299</c:v>
                </c:pt>
                <c:pt idx="64">
                  <c:v>4.4343818650077997</c:v>
                </c:pt>
                <c:pt idx="65">
                  <c:v>4.9565310351030503</c:v>
                </c:pt>
                <c:pt idx="66">
                  <c:v>4.68027765847489</c:v>
                </c:pt>
                <c:pt idx="67">
                  <c:v>3.9963641538618901</c:v>
                </c:pt>
                <c:pt idx="68">
                  <c:v>4.4236483093647001</c:v>
                </c:pt>
                <c:pt idx="69">
                  <c:v>4.8790068516178096</c:v>
                </c:pt>
                <c:pt idx="70">
                  <c:v>4.3694478524670197</c:v>
                </c:pt>
                <c:pt idx="71">
                  <c:v>5.1053392295655504</c:v>
                </c:pt>
                <c:pt idx="72">
                  <c:v>5.4587340879539399</c:v>
                </c:pt>
                <c:pt idx="73">
                  <c:v>5.1357984370502603</c:v>
                </c:pt>
                <c:pt idx="74">
                  <c:v>4.0926765051213998</c:v>
                </c:pt>
                <c:pt idx="75">
                  <c:v>5.5049249492221399</c:v>
                </c:pt>
                <c:pt idx="76">
                  <c:v>5.9042713354055998</c:v>
                </c:pt>
                <c:pt idx="77">
                  <c:v>4.62005879848184</c:v>
                </c:pt>
                <c:pt idx="78">
                  <c:v>5.4785534168509598</c:v>
                </c:pt>
                <c:pt idx="79">
                  <c:v>4.9985627128619798</c:v>
                </c:pt>
                <c:pt idx="80">
                  <c:v>5.2176494634805799</c:v>
                </c:pt>
                <c:pt idx="81">
                  <c:v>5.5345745570076197</c:v>
                </c:pt>
                <c:pt idx="82">
                  <c:v>5.6760686360886803</c:v>
                </c:pt>
                <c:pt idx="83">
                  <c:v>5.5482975718157999</c:v>
                </c:pt>
                <c:pt idx="84">
                  <c:v>4.6700211583076996</c:v>
                </c:pt>
                <c:pt idx="85">
                  <c:v>5.3047963326457399</c:v>
                </c:pt>
                <c:pt idx="86">
                  <c:v>4.28771595520264</c:v>
                </c:pt>
                <c:pt idx="87">
                  <c:v>6.1127968322755004</c:v>
                </c:pt>
              </c:numCache>
            </c:numRef>
          </c:xVal>
          <c:yVal>
            <c:numRef>
              <c:f>Sheet1!$BZ$4:$BZ$91</c:f>
              <c:numCache>
                <c:formatCode>General</c:formatCode>
                <c:ptCount val="88"/>
                <c:pt idx="0">
                  <c:v>2.98568193770048</c:v>
                </c:pt>
                <c:pt idx="1">
                  <c:v>3.1863526331626399</c:v>
                </c:pt>
                <c:pt idx="2">
                  <c:v>2.3125354238472098</c:v>
                </c:pt>
                <c:pt idx="3">
                  <c:v>3.2503744919275701</c:v>
                </c:pt>
                <c:pt idx="4">
                  <c:v>2.5494451709255701</c:v>
                </c:pt>
                <c:pt idx="5">
                  <c:v>4.3993752730084896</c:v>
                </c:pt>
                <c:pt idx="6">
                  <c:v>4.42484663185681</c:v>
                </c:pt>
                <c:pt idx="7">
                  <c:v>2.6461747973841199</c:v>
                </c:pt>
                <c:pt idx="8">
                  <c:v>4.1805222584631503</c:v>
                </c:pt>
                <c:pt idx="9">
                  <c:v>3.8155121050473002</c:v>
                </c:pt>
                <c:pt idx="10">
                  <c:v>2.8735646395797798</c:v>
                </c:pt>
                <c:pt idx="11">
                  <c:v>3.69635146895263</c:v>
                </c:pt>
                <c:pt idx="12">
                  <c:v>4.0412953411322796</c:v>
                </c:pt>
                <c:pt idx="13">
                  <c:v>4.2752762647270002</c:v>
                </c:pt>
                <c:pt idx="14">
                  <c:v>0</c:v>
                </c:pt>
                <c:pt idx="15">
                  <c:v>3.0349529867072702</c:v>
                </c:pt>
                <c:pt idx="16">
                  <c:v>2.7911651078127102</c:v>
                </c:pt>
                <c:pt idx="17">
                  <c:v>2.68102152871429</c:v>
                </c:pt>
                <c:pt idx="18">
                  <c:v>4.1743872698956297</c:v>
                </c:pt>
                <c:pt idx="19">
                  <c:v>3.0773122605464098</c:v>
                </c:pt>
                <c:pt idx="20">
                  <c:v>2.05412373369554</c:v>
                </c:pt>
                <c:pt idx="21">
                  <c:v>4.2239097665767398</c:v>
                </c:pt>
                <c:pt idx="22">
                  <c:v>2.38876278923509</c:v>
                </c:pt>
                <c:pt idx="23">
                  <c:v>4.0842942263685904</c:v>
                </c:pt>
                <c:pt idx="24">
                  <c:v>2.3223877202902199</c:v>
                </c:pt>
                <c:pt idx="25">
                  <c:v>3.2846635654062002</c:v>
                </c:pt>
                <c:pt idx="26">
                  <c:v>1.84054963339748</c:v>
                </c:pt>
                <c:pt idx="27">
                  <c:v>5.0600601774237699</c:v>
                </c:pt>
                <c:pt idx="28">
                  <c:v>3.6988297849671001</c:v>
                </c:pt>
                <c:pt idx="29">
                  <c:v>2.3025850929940401</c:v>
                </c:pt>
                <c:pt idx="30">
                  <c:v>1.5892352051165799</c:v>
                </c:pt>
                <c:pt idx="31">
                  <c:v>3.2846635654062002</c:v>
                </c:pt>
                <c:pt idx="32">
                  <c:v>3.7232808808312599</c:v>
                </c:pt>
                <c:pt idx="33">
                  <c:v>4.0775374439057197</c:v>
                </c:pt>
                <c:pt idx="34">
                  <c:v>3.2995337278856498</c:v>
                </c:pt>
                <c:pt idx="35">
                  <c:v>2.3702437414678599</c:v>
                </c:pt>
                <c:pt idx="36">
                  <c:v>3.17805383034794</c:v>
                </c:pt>
                <c:pt idx="37">
                  <c:v>3.81330703248898</c:v>
                </c:pt>
                <c:pt idx="38">
                  <c:v>3.2733640101522701</c:v>
                </c:pt>
                <c:pt idx="39">
                  <c:v>3.5918177412708001</c:v>
                </c:pt>
                <c:pt idx="40">
                  <c:v>1.7227665977411</c:v>
                </c:pt>
                <c:pt idx="41">
                  <c:v>4.3969152471676303</c:v>
                </c:pt>
                <c:pt idx="42">
                  <c:v>3.1311369105601901</c:v>
                </c:pt>
                <c:pt idx="43">
                  <c:v>1.6094379124341001</c:v>
                </c:pt>
                <c:pt idx="44">
                  <c:v>3.5204608024889699</c:v>
                </c:pt>
                <c:pt idx="45">
                  <c:v>4.5981455710511199</c:v>
                </c:pt>
                <c:pt idx="46">
                  <c:v>4.6539603501575204</c:v>
                </c:pt>
                <c:pt idx="47">
                  <c:v>4.0604430105464102</c:v>
                </c:pt>
                <c:pt idx="48">
                  <c:v>4.1222839309113404</c:v>
                </c:pt>
                <c:pt idx="49">
                  <c:v>3.8437441646748498</c:v>
                </c:pt>
                <c:pt idx="50">
                  <c:v>5.1221766688291597</c:v>
                </c:pt>
                <c:pt idx="51">
                  <c:v>4.8812856220684004</c:v>
                </c:pt>
                <c:pt idx="52">
                  <c:v>4.9829214555287402</c:v>
                </c:pt>
                <c:pt idx="53">
                  <c:v>4.1850989254905597</c:v>
                </c:pt>
                <c:pt idx="54">
                  <c:v>2.50143595173921</c:v>
                </c:pt>
                <c:pt idx="55">
                  <c:v>2.7850112422383302</c:v>
                </c:pt>
                <c:pt idx="56">
                  <c:v>3.9627161197436598</c:v>
                </c:pt>
                <c:pt idx="57">
                  <c:v>4.6606048928761901</c:v>
                </c:pt>
                <c:pt idx="58">
                  <c:v>5.0408411361533201</c:v>
                </c:pt>
                <c:pt idx="59">
                  <c:v>5.3608225718994298</c:v>
                </c:pt>
                <c:pt idx="60">
                  <c:v>4.60816569496789</c:v>
                </c:pt>
                <c:pt idx="61">
                  <c:v>4.1510399058986396</c:v>
                </c:pt>
                <c:pt idx="62">
                  <c:v>5.3981627015177498</c:v>
                </c:pt>
                <c:pt idx="63">
                  <c:v>5.7104270173748697</c:v>
                </c:pt>
                <c:pt idx="64">
                  <c:v>4.5920849464394298</c:v>
                </c:pt>
                <c:pt idx="65">
                  <c:v>5.2574953720277797</c:v>
                </c:pt>
                <c:pt idx="66">
                  <c:v>4.76643833358421</c:v>
                </c:pt>
                <c:pt idx="67">
                  <c:v>4.7291561657690799</c:v>
                </c:pt>
                <c:pt idx="68">
                  <c:v>5.1322627822179498</c:v>
                </c:pt>
                <c:pt idx="69">
                  <c:v>5.1929568508902104</c:v>
                </c:pt>
                <c:pt idx="70">
                  <c:v>4.5064542130489302</c:v>
                </c:pt>
                <c:pt idx="71">
                  <c:v>5.51825578691329</c:v>
                </c:pt>
                <c:pt idx="72">
                  <c:v>5.8487482449063801</c:v>
                </c:pt>
                <c:pt idx="73">
                  <c:v>5.2105784522400302</c:v>
                </c:pt>
                <c:pt idx="74">
                  <c:v>4.3489867805956797</c:v>
                </c:pt>
                <c:pt idx="75">
                  <c:v>5.8830437981535599</c:v>
                </c:pt>
                <c:pt idx="76">
                  <c:v>6.0626217414243104</c:v>
                </c:pt>
                <c:pt idx="77">
                  <c:v>5.2001531177607996</c:v>
                </c:pt>
                <c:pt idx="78">
                  <c:v>5.7310733348921001</c:v>
                </c:pt>
                <c:pt idx="79">
                  <c:v>5.2770937300964098</c:v>
                </c:pt>
                <c:pt idx="80">
                  <c:v>5.3697073626347098</c:v>
                </c:pt>
                <c:pt idx="81">
                  <c:v>5.7705061066991004</c:v>
                </c:pt>
                <c:pt idx="82">
                  <c:v>5.9399080601935799</c:v>
                </c:pt>
                <c:pt idx="83">
                  <c:v>5.9676840184425703</c:v>
                </c:pt>
                <c:pt idx="84">
                  <c:v>5.1221766688291597</c:v>
                </c:pt>
                <c:pt idx="85">
                  <c:v>5.6207631189361003</c:v>
                </c:pt>
                <c:pt idx="86">
                  <c:v>4.65014355163082</c:v>
                </c:pt>
                <c:pt idx="87">
                  <c:v>6.4093521752146998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3-43D4-98D1-7BCABC786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57184"/>
        <c:axId val="70757664"/>
      </c:scatterChart>
      <c:valAx>
        <c:axId val="7075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7664"/>
        <c:crosses val="autoZero"/>
        <c:crossBetween val="midCat"/>
      </c:valAx>
      <c:valAx>
        <c:axId val="7075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Sheet1!$CL$3</c:f>
              <c:strCache>
                <c:ptCount val="1"/>
                <c:pt idx="0">
                  <c:v> growthCac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Sheet1!$CK$4:$CK$19</c:f>
              <c:numCache>
                <c:formatCode>General</c:formatCode>
                <c:ptCount val="16"/>
                <c:pt idx="0">
                  <c:v>2.9444389791664398</c:v>
                </c:pt>
                <c:pt idx="1">
                  <c:v>3.93182563272432</c:v>
                </c:pt>
                <c:pt idx="2">
                  <c:v>3.6109179126442199</c:v>
                </c:pt>
                <c:pt idx="3">
                  <c:v>2.7080502011022101</c:v>
                </c:pt>
                <c:pt idx="4">
                  <c:v>3.4657359027997199</c:v>
                </c:pt>
                <c:pt idx="5">
                  <c:v>4.3694478524670197</c:v>
                </c:pt>
                <c:pt idx="6">
                  <c:v>5.3612921657094201</c:v>
                </c:pt>
                <c:pt idx="7">
                  <c:v>4.0604430105464102</c:v>
                </c:pt>
                <c:pt idx="8">
                  <c:v>3.7841896339182601</c:v>
                </c:pt>
                <c:pt idx="9">
                  <c:v>2.8332133440562099</c:v>
                </c:pt>
                <c:pt idx="10">
                  <c:v>3.5835189384561099</c:v>
                </c:pt>
                <c:pt idx="11">
                  <c:v>3.4657359027997199</c:v>
                </c:pt>
                <c:pt idx="12">
                  <c:v>3.3322045101751998</c:v>
                </c:pt>
                <c:pt idx="13">
                  <c:v>3.4657359027997199</c:v>
                </c:pt>
                <c:pt idx="14">
                  <c:v>2.5649493574615301</c:v>
                </c:pt>
                <c:pt idx="15">
                  <c:v>3.3672958299864701</c:v>
                </c:pt>
              </c:numCache>
            </c:numRef>
          </c:xVal>
          <c:yVal>
            <c:numRef>
              <c:f>Sheet1!$CL$4:$CL$19</c:f>
              <c:numCache>
                <c:formatCode>General</c:formatCode>
                <c:ptCount val="16"/>
                <c:pt idx="0">
                  <c:v>0.95985854692558203</c:v>
                </c:pt>
                <c:pt idx="1">
                  <c:v>1.0432096687204899</c:v>
                </c:pt>
                <c:pt idx="2">
                  <c:v>1.6509249299241</c:v>
                </c:pt>
                <c:pt idx="3">
                  <c:v>1.65929799403658</c:v>
                </c:pt>
                <c:pt idx="4">
                  <c:v>1.8001193459475999</c:v>
                </c:pt>
                <c:pt idx="5">
                  <c:v>2.0510716888963598</c:v>
                </c:pt>
                <c:pt idx="6">
                  <c:v>2.1458240757226399</c:v>
                </c:pt>
                <c:pt idx="7">
                  <c:v>3.5578537245839601</c:v>
                </c:pt>
                <c:pt idx="8">
                  <c:v>3.7371233016415499</c:v>
                </c:pt>
                <c:pt idx="9">
                  <c:v>3.8452244952874901</c:v>
                </c:pt>
                <c:pt idx="10">
                  <c:v>4.7148140832379299</c:v>
                </c:pt>
                <c:pt idx="11">
                  <c:v>4.7877717154122301</c:v>
                </c:pt>
                <c:pt idx="12">
                  <c:v>5.2423128931211203</c:v>
                </c:pt>
                <c:pt idx="13">
                  <c:v>5.3028537083223801</c:v>
                </c:pt>
                <c:pt idx="14">
                  <c:v>5.42227097958021</c:v>
                </c:pt>
                <c:pt idx="15">
                  <c:v>5.7114558818216903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B-49A8-989C-35F4E4913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46336"/>
        <c:axId val="414948736"/>
      </c:scatterChart>
      <c:valAx>
        <c:axId val="41494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48736"/>
        <c:crosses val="autoZero"/>
        <c:crossBetween val="midCat"/>
      </c:valAx>
      <c:valAx>
        <c:axId val="41494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4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GrowthCac vs. GrowthNcpv  -- 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Sheet3!$AB$3</c:f>
              <c:strCache>
                <c:ptCount val="1"/>
                <c:pt idx="0">
                  <c:v> GrowthCac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Sheet3!$AA$4:$AA$19</c:f>
              <c:numCache>
                <c:formatCode>General</c:formatCode>
                <c:ptCount val="16"/>
                <c:pt idx="0">
                  <c:v>2.6644995105181399</c:v>
                </c:pt>
                <c:pt idx="1">
                  <c:v>2.19341642216351</c:v>
                </c:pt>
                <c:pt idx="2">
                  <c:v>0.93356645079507306</c:v>
                </c:pt>
                <c:pt idx="3">
                  <c:v>5.3231125207409598</c:v>
                </c:pt>
                <c:pt idx="4">
                  <c:v>4.9993848679869499</c:v>
                </c:pt>
                <c:pt idx="5">
                  <c:v>1.8904726185289</c:v>
                </c:pt>
                <c:pt idx="6">
                  <c:v>1.6475077626477199</c:v>
                </c:pt>
                <c:pt idx="7">
                  <c:v>2.1843899546479801</c:v>
                </c:pt>
                <c:pt idx="8">
                  <c:v>4.3662567411801296</c:v>
                </c:pt>
                <c:pt idx="9">
                  <c:v>0.96976665571058895</c:v>
                </c:pt>
                <c:pt idx="10">
                  <c:v>2.3328494051809101</c:v>
                </c:pt>
                <c:pt idx="11">
                  <c:v>2.61924183178817</c:v>
                </c:pt>
                <c:pt idx="12">
                  <c:v>1.77096800717088</c:v>
                </c:pt>
                <c:pt idx="13">
                  <c:v>1.82693860112379</c:v>
                </c:pt>
                <c:pt idx="14">
                  <c:v>2.7347921573965901</c:v>
                </c:pt>
                <c:pt idx="15">
                  <c:v>9.2166142723996796</c:v>
                </c:pt>
              </c:numCache>
            </c:numRef>
          </c:xVal>
          <c:yVal>
            <c:numRef>
              <c:f>Sheet3!$AB$4:$AB$19</c:f>
              <c:numCache>
                <c:formatCode>General</c:formatCode>
                <c:ptCount val="16"/>
                <c:pt idx="0">
                  <c:v>0.95985854692558203</c:v>
                </c:pt>
                <c:pt idx="1">
                  <c:v>1.0432096687204899</c:v>
                </c:pt>
                <c:pt idx="2">
                  <c:v>1.6509249299241</c:v>
                </c:pt>
                <c:pt idx="3">
                  <c:v>1.65929799403658</c:v>
                </c:pt>
                <c:pt idx="4">
                  <c:v>1.8001193459475999</c:v>
                </c:pt>
                <c:pt idx="5">
                  <c:v>2.0510716888963598</c:v>
                </c:pt>
                <c:pt idx="6">
                  <c:v>2.1458240757226399</c:v>
                </c:pt>
                <c:pt idx="7">
                  <c:v>3.5578537245839601</c:v>
                </c:pt>
                <c:pt idx="8">
                  <c:v>3.7371233016415499</c:v>
                </c:pt>
                <c:pt idx="9">
                  <c:v>3.8452244952874901</c:v>
                </c:pt>
                <c:pt idx="10">
                  <c:v>4.7148140832379299</c:v>
                </c:pt>
                <c:pt idx="11">
                  <c:v>4.7877717154122301</c:v>
                </c:pt>
                <c:pt idx="12">
                  <c:v>5.2423128931211203</c:v>
                </c:pt>
                <c:pt idx="13">
                  <c:v>5.3028537083223801</c:v>
                </c:pt>
                <c:pt idx="14">
                  <c:v>5.42227097958021</c:v>
                </c:pt>
                <c:pt idx="15">
                  <c:v>5.7114558818216903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A-4871-8671-41686BF88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38176"/>
        <c:axId val="414942016"/>
      </c:scatterChart>
      <c:valAx>
        <c:axId val="41493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42016"/>
        <c:crosses val="autoZero"/>
        <c:crossBetween val="midCat"/>
      </c:valAx>
      <c:valAx>
        <c:axId val="4149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3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GrowthCac vs. GrowthNcpv  -- Theta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Sheet3!$AB$34</c:f>
              <c:strCache>
                <c:ptCount val="1"/>
                <c:pt idx="0">
                  <c:v> GrowthCac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Sheet3!$AA$38:$AA$47</c:f>
              <c:numCache>
                <c:formatCode>General</c:formatCode>
                <c:ptCount val="10"/>
                <c:pt idx="0">
                  <c:v>4.5355219587329003</c:v>
                </c:pt>
                <c:pt idx="1">
                  <c:v>1.0266371224975599</c:v>
                </c:pt>
                <c:pt idx="2">
                  <c:v>1.5214245616098601</c:v>
                </c:pt>
                <c:pt idx="3">
                  <c:v>4.3470310224889204</c:v>
                </c:pt>
                <c:pt idx="4">
                  <c:v>18.969584471277301</c:v>
                </c:pt>
                <c:pt idx="5">
                  <c:v>4.0334369756325703</c:v>
                </c:pt>
                <c:pt idx="6">
                  <c:v>7.9733175890349104</c:v>
                </c:pt>
                <c:pt idx="7">
                  <c:v>2.1462626022611202</c:v>
                </c:pt>
                <c:pt idx="8">
                  <c:v>2.36939090062645</c:v>
                </c:pt>
                <c:pt idx="9">
                  <c:v>3.8084673440058698</c:v>
                </c:pt>
              </c:numCache>
            </c:numRef>
          </c:xVal>
          <c:yVal>
            <c:numRef>
              <c:f>Sheet3!$AB$38:$AB$47</c:f>
              <c:numCache>
                <c:formatCode>General</c:formatCode>
                <c:ptCount val="10"/>
                <c:pt idx="0">
                  <c:v>16.841099171232599</c:v>
                </c:pt>
                <c:pt idx="1">
                  <c:v>11.260086185313799</c:v>
                </c:pt>
                <c:pt idx="2">
                  <c:v>4.9925448702448296</c:v>
                </c:pt>
                <c:pt idx="3">
                  <c:v>3.03667429271291</c:v>
                </c:pt>
                <c:pt idx="4">
                  <c:v>1.9900484026476399</c:v>
                </c:pt>
                <c:pt idx="5">
                  <c:v>1.88496184653024</c:v>
                </c:pt>
                <c:pt idx="6">
                  <c:v>1.77974296962276</c:v>
                </c:pt>
                <c:pt idx="7">
                  <c:v>1.7095112913514501</c:v>
                </c:pt>
                <c:pt idx="8">
                  <c:v>1.3569154488567201</c:v>
                </c:pt>
                <c:pt idx="9">
                  <c:v>1.17924958483937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6-477B-BA68-99F506F7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2176"/>
        <c:axId val="414964096"/>
      </c:scatterChart>
      <c:valAx>
        <c:axId val="41496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4096"/>
        <c:crosses val="autoZero"/>
        <c:crossBetween val="midCat"/>
      </c:valAx>
      <c:valAx>
        <c:axId val="41496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/>
              <a:t> </a:t>
            </a:r>
            <a:r>
              <a:rPr lang="el-G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λ</a:t>
            </a:r>
            <a:r>
              <a:rPr lang="en-US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The Secret </a:t>
            </a:r>
            <a:r>
              <a:rPr lang="en-US" b="1"/>
              <a:t>Half Life of 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Plaque, Cac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N=52</a:t>
            </a:r>
            <a:endParaRPr lang="en-US" sz="1200" b="1" baseline="0"/>
          </a:p>
        </c:rich>
      </c:tx>
      <c:layout>
        <c:manualLayout>
          <c:xMode val="edge"/>
          <c:yMode val="edge"/>
          <c:x val="0.27191092380550397"/>
          <c:y val="1.6966062753502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900726802790718E-2"/>
          <c:y val="0.10201908295785847"/>
          <c:w val="0.88256627390687858"/>
          <c:h val="0.822499581971354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Cac-dbl-yrs</c:v>
                </c:pt>
              </c:strCache>
            </c:strRef>
          </c:tx>
          <c:spPr>
            <a:ln w="28575" cap="rnd">
              <a:solidFill>
                <a:srgbClr val="E2AC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273716464015457"/>
                  <c:y val="-0.103331831433872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Sheet2!$F$3:$F$54</c:f>
              <c:numCache>
                <c:formatCode>General</c:formatCode>
                <c:ptCount val="52"/>
                <c:pt idx="0">
                  <c:v>-35.299860000000002</c:v>
                </c:pt>
                <c:pt idx="1">
                  <c:v>-7.5037599999999998</c:v>
                </c:pt>
                <c:pt idx="2">
                  <c:v>-1.74648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0.55328999999999995</c:v>
                </c:pt>
                <c:pt idx="19">
                  <c:v>0.95986000000000005</c:v>
                </c:pt>
                <c:pt idx="20">
                  <c:v>1</c:v>
                </c:pt>
                <c:pt idx="21">
                  <c:v>1.04321</c:v>
                </c:pt>
                <c:pt idx="22">
                  <c:v>1.1792499999999999</c:v>
                </c:pt>
                <c:pt idx="23">
                  <c:v>1.3569199999999999</c:v>
                </c:pt>
                <c:pt idx="24">
                  <c:v>1.6509199999999999</c:v>
                </c:pt>
                <c:pt idx="25">
                  <c:v>1.6593</c:v>
                </c:pt>
                <c:pt idx="26">
                  <c:v>1.7095100000000001</c:v>
                </c:pt>
                <c:pt idx="27">
                  <c:v>1.7797400000000001</c:v>
                </c:pt>
                <c:pt idx="28">
                  <c:v>1.8001199999999999</c:v>
                </c:pt>
                <c:pt idx="29">
                  <c:v>1.88496</c:v>
                </c:pt>
                <c:pt idx="30">
                  <c:v>1.9900500000000001</c:v>
                </c:pt>
                <c:pt idx="31">
                  <c:v>2.0510700000000002</c:v>
                </c:pt>
                <c:pt idx="32">
                  <c:v>2.1458200000000001</c:v>
                </c:pt>
                <c:pt idx="33">
                  <c:v>3.03667</c:v>
                </c:pt>
                <c:pt idx="34">
                  <c:v>3.5578500000000002</c:v>
                </c:pt>
                <c:pt idx="35">
                  <c:v>3.6975199999999999</c:v>
                </c:pt>
                <c:pt idx="36">
                  <c:v>3.73712</c:v>
                </c:pt>
                <c:pt idx="37">
                  <c:v>3.8452199999999999</c:v>
                </c:pt>
                <c:pt idx="38">
                  <c:v>4.7148099999999999</c:v>
                </c:pt>
                <c:pt idx="39">
                  <c:v>4.7877700000000001</c:v>
                </c:pt>
                <c:pt idx="40">
                  <c:v>4.99254</c:v>
                </c:pt>
                <c:pt idx="41">
                  <c:v>5.2423099999999998</c:v>
                </c:pt>
                <c:pt idx="42">
                  <c:v>5.3028500000000003</c:v>
                </c:pt>
                <c:pt idx="43">
                  <c:v>5.4222700000000001</c:v>
                </c:pt>
                <c:pt idx="44">
                  <c:v>5.7114599999999998</c:v>
                </c:pt>
                <c:pt idx="45">
                  <c:v>7.0798500000000004</c:v>
                </c:pt>
                <c:pt idx="46">
                  <c:v>11.26009</c:v>
                </c:pt>
                <c:pt idx="47">
                  <c:v>16.841100000000001</c:v>
                </c:pt>
                <c:pt idx="48">
                  <c:v>22.75657</c:v>
                </c:pt>
                <c:pt idx="49">
                  <c:v>35.34937</c:v>
                </c:pt>
                <c:pt idx="50">
                  <c:v>41.241289999999999</c:v>
                </c:pt>
                <c:pt idx="51">
                  <c:v>55.797629999999998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A4-43E4-BF72-57B241E3D577}"/>
            </c:ext>
          </c:extLst>
        </c:ser>
        <c:ser>
          <c:idx val="1"/>
          <c:order val="1"/>
          <c:tx>
            <c:strRef>
              <c:f>Sheet2!$J$2</c:f>
              <c:strCache>
                <c:ptCount val="1"/>
                <c:pt idx="0">
                  <c:v>Ncpv-dbl-yrs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Sheet2!$J$2:$J$54</c:f>
              <c:numCache>
                <c:formatCode>General</c:formatCode>
                <c:ptCount val="53"/>
                <c:pt idx="0">
                  <c:v>0</c:v>
                </c:pt>
                <c:pt idx="1">
                  <c:v>3.7546599999999999</c:v>
                </c:pt>
                <c:pt idx="2">
                  <c:v>3.1840199999999999</c:v>
                </c:pt>
                <c:pt idx="3">
                  <c:v>2.53871</c:v>
                </c:pt>
                <c:pt idx="4">
                  <c:v>-6.7638199999999999</c:v>
                </c:pt>
                <c:pt idx="5">
                  <c:v>0.60529999999999995</c:v>
                </c:pt>
                <c:pt idx="6">
                  <c:v>0.76168999999999998</c:v>
                </c:pt>
                <c:pt idx="7">
                  <c:v>0.82874999999999999</c:v>
                </c:pt>
                <c:pt idx="8">
                  <c:v>0.88058000000000003</c:v>
                </c:pt>
                <c:pt idx="9">
                  <c:v>0.90947</c:v>
                </c:pt>
                <c:pt idx="10">
                  <c:v>1</c:v>
                </c:pt>
                <c:pt idx="11">
                  <c:v>1.1275599999999999</c:v>
                </c:pt>
                <c:pt idx="12">
                  <c:v>1.64015</c:v>
                </c:pt>
                <c:pt idx="13">
                  <c:v>1.9163600000000001</c:v>
                </c:pt>
                <c:pt idx="14">
                  <c:v>1.9530099999999999</c:v>
                </c:pt>
                <c:pt idx="15">
                  <c:v>3.2768099999999998</c:v>
                </c:pt>
                <c:pt idx="16">
                  <c:v>7.4303600000000003</c:v>
                </c:pt>
                <c:pt idx="17">
                  <c:v>12.839359999999999</c:v>
                </c:pt>
                <c:pt idx="18">
                  <c:v>15.116619999999999</c:v>
                </c:pt>
                <c:pt idx="19">
                  <c:v>2.2890899999999998</c:v>
                </c:pt>
                <c:pt idx="20">
                  <c:v>2.6644999999999999</c:v>
                </c:pt>
                <c:pt idx="21">
                  <c:v>7.1455299999999999</c:v>
                </c:pt>
                <c:pt idx="22">
                  <c:v>2.1934200000000001</c:v>
                </c:pt>
                <c:pt idx="23">
                  <c:v>3.8084699999999998</c:v>
                </c:pt>
                <c:pt idx="24">
                  <c:v>2.3693900000000001</c:v>
                </c:pt>
                <c:pt idx="25">
                  <c:v>0.93357000000000001</c:v>
                </c:pt>
                <c:pt idx="26">
                  <c:v>5.3231099999999998</c:v>
                </c:pt>
                <c:pt idx="27">
                  <c:v>2.1462599999999998</c:v>
                </c:pt>
                <c:pt idx="28">
                  <c:v>7.9733200000000002</c:v>
                </c:pt>
                <c:pt idx="29">
                  <c:v>4.9993800000000004</c:v>
                </c:pt>
                <c:pt idx="30">
                  <c:v>4.0334399999999997</c:v>
                </c:pt>
                <c:pt idx="31">
                  <c:v>18.969580000000001</c:v>
                </c:pt>
                <c:pt idx="32">
                  <c:v>1.8904700000000001</c:v>
                </c:pt>
                <c:pt idx="33">
                  <c:v>1.64751</c:v>
                </c:pt>
                <c:pt idx="34">
                  <c:v>4.3470300000000002</c:v>
                </c:pt>
                <c:pt idx="35">
                  <c:v>2.1843900000000001</c:v>
                </c:pt>
                <c:pt idx="36">
                  <c:v>2.0565500000000001</c:v>
                </c:pt>
                <c:pt idx="37">
                  <c:v>4.3662599999999996</c:v>
                </c:pt>
                <c:pt idx="38">
                  <c:v>0.96977000000000002</c:v>
                </c:pt>
                <c:pt idx="39">
                  <c:v>2.3328500000000001</c:v>
                </c:pt>
                <c:pt idx="40">
                  <c:v>2.61924</c:v>
                </c:pt>
                <c:pt idx="41">
                  <c:v>1.52142</c:v>
                </c:pt>
                <c:pt idx="42">
                  <c:v>1.7709699999999999</c:v>
                </c:pt>
                <c:pt idx="43">
                  <c:v>1.82694</c:v>
                </c:pt>
                <c:pt idx="44">
                  <c:v>2.7347899999999998</c:v>
                </c:pt>
                <c:pt idx="45">
                  <c:v>9.2166099999999993</c:v>
                </c:pt>
                <c:pt idx="46">
                  <c:v>2.96922</c:v>
                </c:pt>
                <c:pt idx="47">
                  <c:v>1.02664</c:v>
                </c:pt>
                <c:pt idx="48">
                  <c:v>4.53552</c:v>
                </c:pt>
                <c:pt idx="49">
                  <c:v>2.4739200000000001</c:v>
                </c:pt>
                <c:pt idx="50">
                  <c:v>1.1859500000000001</c:v>
                </c:pt>
                <c:pt idx="51">
                  <c:v>2.9275799999999998</c:v>
                </c:pt>
                <c:pt idx="52">
                  <c:v>1.67032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A4-43E4-BF72-57B241E3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78976"/>
        <c:axId val="41497945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Sheet2!$C$2</c15:sqref>
                        </c15:formulaRef>
                      </c:ext>
                    </c:extLst>
                    <c:strCache>
                      <c:ptCount val="1"/>
                      <c:pt idx="0">
                        <c:v>Cac0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olid"/>
                    </a:ln>
                    <a:effectLst/>
                  </c:spPr>
                  <c:trendlineType val="linear"/>
                  <c:dispRSqr val="0"/>
                  <c:dispEq val="0"/>
                </c:trendline>
                <c:yVal>
                  <c:numRef>
                    <c:extLst>
                      <c:ext uri="{02D57815-91ED-43cb-92C2-25804820EDAC}">
                        <c15:formulaRef>
                          <c15:sqref>Sheet2!$C$3:$C$54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360</c:v>
                      </c:pt>
                      <c:pt idx="1">
                        <c:v>68</c:v>
                      </c:pt>
                      <c:pt idx="2">
                        <c:v>58</c:v>
                      </c:pt>
                      <c:pt idx="3">
                        <c:v>135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</c:v>
                      </c:pt>
                      <c:pt idx="9">
                        <c:v>0</c:v>
                      </c:pt>
                      <c:pt idx="10">
                        <c:v>21</c:v>
                      </c:pt>
                      <c:pt idx="11">
                        <c:v>37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2</c:v>
                      </c:pt>
                      <c:pt idx="19">
                        <c:v>17</c:v>
                      </c:pt>
                      <c:pt idx="20">
                        <c:v>4</c:v>
                      </c:pt>
                      <c:pt idx="21">
                        <c:v>53</c:v>
                      </c:pt>
                      <c:pt idx="22">
                        <c:v>10</c:v>
                      </c:pt>
                      <c:pt idx="23">
                        <c:v>3</c:v>
                      </c:pt>
                      <c:pt idx="24">
                        <c:v>69</c:v>
                      </c:pt>
                      <c:pt idx="25">
                        <c:v>27</c:v>
                      </c:pt>
                      <c:pt idx="26">
                        <c:v>4</c:v>
                      </c:pt>
                      <c:pt idx="27">
                        <c:v>21</c:v>
                      </c:pt>
                      <c:pt idx="28">
                        <c:v>66</c:v>
                      </c:pt>
                      <c:pt idx="29">
                        <c:v>9</c:v>
                      </c:pt>
                      <c:pt idx="30">
                        <c:v>12</c:v>
                      </c:pt>
                      <c:pt idx="31">
                        <c:v>194</c:v>
                      </c:pt>
                      <c:pt idx="32">
                        <c:v>556</c:v>
                      </c:pt>
                      <c:pt idx="33">
                        <c:v>39</c:v>
                      </c:pt>
                      <c:pt idx="34">
                        <c:v>265</c:v>
                      </c:pt>
                      <c:pt idx="35">
                        <c:v>291</c:v>
                      </c:pt>
                      <c:pt idx="36">
                        <c:v>211</c:v>
                      </c:pt>
                      <c:pt idx="37">
                        <c:v>81</c:v>
                      </c:pt>
                      <c:pt idx="38">
                        <c:v>221</c:v>
                      </c:pt>
                      <c:pt idx="39">
                        <c:v>199</c:v>
                      </c:pt>
                      <c:pt idx="40">
                        <c:v>47</c:v>
                      </c:pt>
                      <c:pt idx="41">
                        <c:v>191</c:v>
                      </c:pt>
                      <c:pt idx="42">
                        <c:v>222</c:v>
                      </c:pt>
                      <c:pt idx="43">
                        <c:v>88</c:v>
                      </c:pt>
                      <c:pt idx="44">
                        <c:v>217</c:v>
                      </c:pt>
                      <c:pt idx="45">
                        <c:v>175</c:v>
                      </c:pt>
                      <c:pt idx="46">
                        <c:v>63</c:v>
                      </c:pt>
                      <c:pt idx="47">
                        <c:v>119</c:v>
                      </c:pt>
                      <c:pt idx="48">
                        <c:v>388</c:v>
                      </c:pt>
                      <c:pt idx="49">
                        <c:v>101</c:v>
                      </c:pt>
                      <c:pt idx="50">
                        <c:v>295</c:v>
                      </c:pt>
                      <c:pt idx="51">
                        <c:v>80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B3A4-43E4-BF72-57B241E3D5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Sheet2!$E$2</c15:sqref>
                        </c15:formulaRef>
                      </c:ext>
                    </c:extLst>
                    <c:strCache>
                      <c:ptCount val="1"/>
                      <c:pt idx="0">
                        <c:v>DCac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Sheet2!$D$3:$D$54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353</c:v>
                      </c:pt>
                      <c:pt idx="1">
                        <c:v>62</c:v>
                      </c:pt>
                      <c:pt idx="2">
                        <c:v>39</c:v>
                      </c:pt>
                      <c:pt idx="3">
                        <c:v>135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21</c:v>
                      </c:pt>
                      <c:pt idx="11">
                        <c:v>37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7</c:v>
                      </c:pt>
                      <c:pt idx="19">
                        <c:v>35</c:v>
                      </c:pt>
                      <c:pt idx="20">
                        <c:v>8</c:v>
                      </c:pt>
                      <c:pt idx="21">
                        <c:v>103</c:v>
                      </c:pt>
                      <c:pt idx="22">
                        <c:v>18</c:v>
                      </c:pt>
                      <c:pt idx="23">
                        <c:v>5</c:v>
                      </c:pt>
                      <c:pt idx="24">
                        <c:v>105</c:v>
                      </c:pt>
                      <c:pt idx="25">
                        <c:v>41</c:v>
                      </c:pt>
                      <c:pt idx="26">
                        <c:v>6</c:v>
                      </c:pt>
                      <c:pt idx="27">
                        <c:v>31</c:v>
                      </c:pt>
                      <c:pt idx="28">
                        <c:v>97</c:v>
                      </c:pt>
                      <c:pt idx="29">
                        <c:v>13</c:v>
                      </c:pt>
                      <c:pt idx="30">
                        <c:v>17</c:v>
                      </c:pt>
                      <c:pt idx="31">
                        <c:v>272</c:v>
                      </c:pt>
                      <c:pt idx="32">
                        <c:v>768</c:v>
                      </c:pt>
                      <c:pt idx="33">
                        <c:v>49</c:v>
                      </c:pt>
                      <c:pt idx="34">
                        <c:v>322</c:v>
                      </c:pt>
                      <c:pt idx="35">
                        <c:v>351</c:v>
                      </c:pt>
                      <c:pt idx="36">
                        <c:v>254</c:v>
                      </c:pt>
                      <c:pt idx="37">
                        <c:v>97</c:v>
                      </c:pt>
                      <c:pt idx="38">
                        <c:v>256</c:v>
                      </c:pt>
                      <c:pt idx="39">
                        <c:v>230</c:v>
                      </c:pt>
                      <c:pt idx="40">
                        <c:v>54</c:v>
                      </c:pt>
                      <c:pt idx="41">
                        <c:v>218</c:v>
                      </c:pt>
                      <c:pt idx="42">
                        <c:v>253</c:v>
                      </c:pt>
                      <c:pt idx="43">
                        <c:v>100</c:v>
                      </c:pt>
                      <c:pt idx="44">
                        <c:v>245</c:v>
                      </c:pt>
                      <c:pt idx="45">
                        <c:v>193</c:v>
                      </c:pt>
                      <c:pt idx="46">
                        <c:v>67</c:v>
                      </c:pt>
                      <c:pt idx="47">
                        <c:v>124</c:v>
                      </c:pt>
                      <c:pt idx="48">
                        <c:v>400</c:v>
                      </c:pt>
                      <c:pt idx="49">
                        <c:v>103</c:v>
                      </c:pt>
                      <c:pt idx="50">
                        <c:v>300</c:v>
                      </c:pt>
                      <c:pt idx="51">
                        <c:v>81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3A4-43E4-BF72-57B241E3D577}"/>
                  </c:ext>
                </c:extLst>
              </c15:ser>
            </c15:filteredScatterSeries>
          </c:ext>
        </c:extLst>
      </c:scatterChart>
      <c:valAx>
        <c:axId val="414978976"/>
        <c:scaling>
          <c:orientation val="minMax"/>
          <c:max val="55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9456"/>
        <c:crosses val="autoZero"/>
        <c:crossBetween val="midCat"/>
      </c:valAx>
      <c:valAx>
        <c:axId val="414979456"/>
        <c:scaling>
          <c:orientation val="minMax"/>
          <c:max val="6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yrs to double or halflife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7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9779342378758"/>
          <c:y val="0.79091210831452796"/>
          <c:w val="0.2197067937080274"/>
          <c:h val="0.1704060429366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l-G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λ</a:t>
            </a:r>
            <a:r>
              <a:rPr lang="en-US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The Secret Half Life of 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Plaque, Ncpv,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N=100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245156231967038E-2"/>
          <c:y val="0.15911771835291158"/>
          <c:w val="0.92019030201226892"/>
          <c:h val="0.77627762861328942"/>
        </c:manualLayout>
      </c:layout>
      <c:lineChart>
        <c:grouping val="standard"/>
        <c:varyColors val="0"/>
        <c:ser>
          <c:idx val="0"/>
          <c:order val="0"/>
          <c:tx>
            <c:strRef>
              <c:f>Sheet2!$AG$2</c:f>
              <c:strCache>
                <c:ptCount val="1"/>
                <c:pt idx="0">
                  <c:v>Ncpv-dbl-yrs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241728290070137"/>
                  <c:y val="-0.240771933006930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Sheet2!$AG$3:$AG$102</c:f>
              <c:numCache>
                <c:formatCode>General</c:formatCode>
                <c:ptCount val="100"/>
                <c:pt idx="0">
                  <c:v>-6.7638199999999999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0.42774000000000001</c:v>
                </c:pt>
                <c:pt idx="7">
                  <c:v>0.46717999999999998</c:v>
                </c:pt>
                <c:pt idx="8">
                  <c:v>0.5</c:v>
                </c:pt>
                <c:pt idx="9">
                  <c:v>0.50183</c:v>
                </c:pt>
                <c:pt idx="10">
                  <c:v>0.50836999999999999</c:v>
                </c:pt>
                <c:pt idx="11">
                  <c:v>0.54478000000000004</c:v>
                </c:pt>
                <c:pt idx="12">
                  <c:v>0.5484</c:v>
                </c:pt>
                <c:pt idx="13">
                  <c:v>0.56006999999999996</c:v>
                </c:pt>
                <c:pt idx="14">
                  <c:v>0.56528999999999996</c:v>
                </c:pt>
                <c:pt idx="15">
                  <c:v>0.58267999999999998</c:v>
                </c:pt>
                <c:pt idx="16">
                  <c:v>0.59516000000000002</c:v>
                </c:pt>
                <c:pt idx="17">
                  <c:v>0.60529999999999995</c:v>
                </c:pt>
                <c:pt idx="18">
                  <c:v>0.69086999999999998</c:v>
                </c:pt>
                <c:pt idx="19">
                  <c:v>0.70433000000000001</c:v>
                </c:pt>
                <c:pt idx="20">
                  <c:v>0.74187999999999998</c:v>
                </c:pt>
                <c:pt idx="21">
                  <c:v>0.75795000000000001</c:v>
                </c:pt>
                <c:pt idx="22">
                  <c:v>0.76168999999999998</c:v>
                </c:pt>
                <c:pt idx="23">
                  <c:v>0.82874999999999999</c:v>
                </c:pt>
                <c:pt idx="24">
                  <c:v>0.88058000000000003</c:v>
                </c:pt>
                <c:pt idx="25">
                  <c:v>0.88666</c:v>
                </c:pt>
                <c:pt idx="26">
                  <c:v>0.90947</c:v>
                </c:pt>
                <c:pt idx="27">
                  <c:v>0.93357000000000001</c:v>
                </c:pt>
                <c:pt idx="28">
                  <c:v>0.96594999999999998</c:v>
                </c:pt>
                <c:pt idx="29">
                  <c:v>0.96818000000000004</c:v>
                </c:pt>
                <c:pt idx="30">
                  <c:v>0.96977000000000002</c:v>
                </c:pt>
                <c:pt idx="31">
                  <c:v>0.98480000000000001</c:v>
                </c:pt>
                <c:pt idx="32">
                  <c:v>1</c:v>
                </c:pt>
                <c:pt idx="33">
                  <c:v>1.02664</c:v>
                </c:pt>
                <c:pt idx="34">
                  <c:v>1.0689900000000001</c:v>
                </c:pt>
                <c:pt idx="35">
                  <c:v>1.1006899999999999</c:v>
                </c:pt>
                <c:pt idx="36">
                  <c:v>1.1219600000000001</c:v>
                </c:pt>
                <c:pt idx="37">
                  <c:v>1.1275599999999999</c:v>
                </c:pt>
                <c:pt idx="38">
                  <c:v>1.1859500000000001</c:v>
                </c:pt>
                <c:pt idx="39">
                  <c:v>1.23861</c:v>
                </c:pt>
                <c:pt idx="40">
                  <c:v>1.2555499999999999</c:v>
                </c:pt>
                <c:pt idx="41">
                  <c:v>1.3309899999999999</c:v>
                </c:pt>
                <c:pt idx="42">
                  <c:v>1.35348</c:v>
                </c:pt>
                <c:pt idx="43">
                  <c:v>1.3657699999999999</c:v>
                </c:pt>
                <c:pt idx="44">
                  <c:v>1.40116</c:v>
                </c:pt>
                <c:pt idx="45">
                  <c:v>1.49346</c:v>
                </c:pt>
                <c:pt idx="46">
                  <c:v>1.4952300000000001</c:v>
                </c:pt>
                <c:pt idx="47">
                  <c:v>1.52142</c:v>
                </c:pt>
                <c:pt idx="48">
                  <c:v>1.58403</c:v>
                </c:pt>
                <c:pt idx="49">
                  <c:v>1.62161</c:v>
                </c:pt>
                <c:pt idx="50">
                  <c:v>1.64015</c:v>
                </c:pt>
                <c:pt idx="51">
                  <c:v>1.64751</c:v>
                </c:pt>
                <c:pt idx="52">
                  <c:v>1.67032</c:v>
                </c:pt>
                <c:pt idx="53">
                  <c:v>1.6964999999999999</c:v>
                </c:pt>
                <c:pt idx="54">
                  <c:v>1.7709699999999999</c:v>
                </c:pt>
                <c:pt idx="55">
                  <c:v>1.77803</c:v>
                </c:pt>
                <c:pt idx="56">
                  <c:v>1.82694</c:v>
                </c:pt>
                <c:pt idx="57">
                  <c:v>1.8360000000000001</c:v>
                </c:pt>
                <c:pt idx="58">
                  <c:v>1.8904700000000001</c:v>
                </c:pt>
                <c:pt idx="59">
                  <c:v>1.9163600000000001</c:v>
                </c:pt>
                <c:pt idx="60">
                  <c:v>1.9530099999999999</c:v>
                </c:pt>
                <c:pt idx="61">
                  <c:v>2.0022199999999999</c:v>
                </c:pt>
                <c:pt idx="62">
                  <c:v>2.0565500000000001</c:v>
                </c:pt>
                <c:pt idx="63">
                  <c:v>2.0581299999999998</c:v>
                </c:pt>
                <c:pt idx="64">
                  <c:v>2.1462599999999998</c:v>
                </c:pt>
                <c:pt idx="65">
                  <c:v>2.1843900000000001</c:v>
                </c:pt>
                <c:pt idx="66">
                  <c:v>2.1934200000000001</c:v>
                </c:pt>
                <c:pt idx="67">
                  <c:v>2.2890899999999998</c:v>
                </c:pt>
                <c:pt idx="68">
                  <c:v>2.3328500000000001</c:v>
                </c:pt>
                <c:pt idx="69">
                  <c:v>2.3693900000000001</c:v>
                </c:pt>
                <c:pt idx="70">
                  <c:v>2.4739200000000001</c:v>
                </c:pt>
                <c:pt idx="71">
                  <c:v>2.53871</c:v>
                </c:pt>
                <c:pt idx="72">
                  <c:v>2.61924</c:v>
                </c:pt>
                <c:pt idx="73">
                  <c:v>2.6644999999999999</c:v>
                </c:pt>
                <c:pt idx="74">
                  <c:v>2.7347899999999998</c:v>
                </c:pt>
                <c:pt idx="75">
                  <c:v>2.9275799999999998</c:v>
                </c:pt>
                <c:pt idx="76">
                  <c:v>2.96922</c:v>
                </c:pt>
                <c:pt idx="77">
                  <c:v>2.9902600000000001</c:v>
                </c:pt>
                <c:pt idx="78">
                  <c:v>3.0238999999999998</c:v>
                </c:pt>
                <c:pt idx="79">
                  <c:v>3.1840199999999999</c:v>
                </c:pt>
                <c:pt idx="80">
                  <c:v>3.2768099999999998</c:v>
                </c:pt>
                <c:pt idx="81">
                  <c:v>3.7546599999999999</c:v>
                </c:pt>
                <c:pt idx="82">
                  <c:v>3.8084699999999998</c:v>
                </c:pt>
                <c:pt idx="83">
                  <c:v>4.0334399999999997</c:v>
                </c:pt>
                <c:pt idx="84">
                  <c:v>4.3470300000000002</c:v>
                </c:pt>
                <c:pt idx="85">
                  <c:v>4.3662599999999996</c:v>
                </c:pt>
                <c:pt idx="86">
                  <c:v>4.53552</c:v>
                </c:pt>
                <c:pt idx="87">
                  <c:v>4.7048899999999998</c:v>
                </c:pt>
                <c:pt idx="88">
                  <c:v>4.9993800000000004</c:v>
                </c:pt>
                <c:pt idx="89">
                  <c:v>5.3231099999999998</c:v>
                </c:pt>
                <c:pt idx="90">
                  <c:v>5.4883699999999997</c:v>
                </c:pt>
                <c:pt idx="91">
                  <c:v>7.0702199999999999</c:v>
                </c:pt>
                <c:pt idx="92">
                  <c:v>7.1455299999999999</c:v>
                </c:pt>
                <c:pt idx="93">
                  <c:v>7.4303600000000003</c:v>
                </c:pt>
                <c:pt idx="94">
                  <c:v>7.9733200000000002</c:v>
                </c:pt>
                <c:pt idx="95">
                  <c:v>9.2166099999999993</c:v>
                </c:pt>
                <c:pt idx="96">
                  <c:v>12.839359999999999</c:v>
                </c:pt>
                <c:pt idx="97">
                  <c:v>13.51341</c:v>
                </c:pt>
                <c:pt idx="98">
                  <c:v>15.116619999999999</c:v>
                </c:pt>
                <c:pt idx="99">
                  <c:v>18.969580000000001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8A-4A81-8B02-CDBF1377C872}"/>
            </c:ext>
          </c:extLst>
        </c:ser>
        <c:ser>
          <c:idx val="1"/>
          <c:order val="1"/>
          <c:tx>
            <c:strRef>
              <c:f>Sheet2!$AI$2</c:f>
              <c:strCache>
                <c:ptCount val="1"/>
                <c:pt idx="0">
                  <c:v>regressors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Sheet2!$AI$3:$AI$102</c:f>
              <c:numCache>
                <c:formatCode>General</c:formatCode>
                <c:ptCount val="100"/>
                <c:pt idx="0">
                  <c:v>-2</c:v>
                </c:pt>
                <c:pt idx="1">
                  <c:v>-20</c:v>
                </c:pt>
                <c:pt idx="2">
                  <c:v>-20</c:v>
                </c:pt>
                <c:pt idx="3">
                  <c:v>-20</c:v>
                </c:pt>
                <c:pt idx="4">
                  <c:v>-20</c:v>
                </c:pt>
                <c:pt idx="5">
                  <c:v>-20</c:v>
                </c:pt>
                <c:pt idx="6">
                  <c:v>-20</c:v>
                </c:pt>
                <c:pt idx="7">
                  <c:v>-20</c:v>
                </c:pt>
                <c:pt idx="8">
                  <c:v>-20</c:v>
                </c:pt>
                <c:pt idx="9">
                  <c:v>-20</c:v>
                </c:pt>
                <c:pt idx="10">
                  <c:v>-20</c:v>
                </c:pt>
                <c:pt idx="11">
                  <c:v>-20</c:v>
                </c:pt>
                <c:pt idx="12">
                  <c:v>-20</c:v>
                </c:pt>
                <c:pt idx="13">
                  <c:v>-20</c:v>
                </c:pt>
                <c:pt idx="14">
                  <c:v>-20</c:v>
                </c:pt>
                <c:pt idx="15">
                  <c:v>-20</c:v>
                </c:pt>
                <c:pt idx="16">
                  <c:v>-20</c:v>
                </c:pt>
                <c:pt idx="17">
                  <c:v>-20</c:v>
                </c:pt>
                <c:pt idx="18">
                  <c:v>-20</c:v>
                </c:pt>
                <c:pt idx="19">
                  <c:v>-20</c:v>
                </c:pt>
                <c:pt idx="20">
                  <c:v>-20</c:v>
                </c:pt>
                <c:pt idx="21">
                  <c:v>-20</c:v>
                </c:pt>
                <c:pt idx="22">
                  <c:v>-20</c:v>
                </c:pt>
                <c:pt idx="23">
                  <c:v>-20</c:v>
                </c:pt>
                <c:pt idx="24">
                  <c:v>-20</c:v>
                </c:pt>
                <c:pt idx="25">
                  <c:v>-20</c:v>
                </c:pt>
                <c:pt idx="26">
                  <c:v>-2</c:v>
                </c:pt>
                <c:pt idx="27">
                  <c:v>-20</c:v>
                </c:pt>
                <c:pt idx="28">
                  <c:v>-20</c:v>
                </c:pt>
                <c:pt idx="29">
                  <c:v>-20</c:v>
                </c:pt>
                <c:pt idx="30">
                  <c:v>-20</c:v>
                </c:pt>
                <c:pt idx="31">
                  <c:v>-20</c:v>
                </c:pt>
                <c:pt idx="32">
                  <c:v>-2</c:v>
                </c:pt>
                <c:pt idx="33">
                  <c:v>-20</c:v>
                </c:pt>
                <c:pt idx="34">
                  <c:v>-20</c:v>
                </c:pt>
                <c:pt idx="35">
                  <c:v>-20</c:v>
                </c:pt>
                <c:pt idx="36">
                  <c:v>-20</c:v>
                </c:pt>
                <c:pt idx="37">
                  <c:v>-20</c:v>
                </c:pt>
                <c:pt idx="38">
                  <c:v>-20</c:v>
                </c:pt>
                <c:pt idx="39">
                  <c:v>-20</c:v>
                </c:pt>
                <c:pt idx="40">
                  <c:v>-20</c:v>
                </c:pt>
                <c:pt idx="41">
                  <c:v>-20</c:v>
                </c:pt>
                <c:pt idx="42">
                  <c:v>-20</c:v>
                </c:pt>
                <c:pt idx="43">
                  <c:v>-20</c:v>
                </c:pt>
                <c:pt idx="44">
                  <c:v>-20</c:v>
                </c:pt>
                <c:pt idx="45">
                  <c:v>-20</c:v>
                </c:pt>
                <c:pt idx="46">
                  <c:v>-20</c:v>
                </c:pt>
                <c:pt idx="47">
                  <c:v>-20</c:v>
                </c:pt>
                <c:pt idx="48">
                  <c:v>-20</c:v>
                </c:pt>
                <c:pt idx="49">
                  <c:v>-20</c:v>
                </c:pt>
                <c:pt idx="50">
                  <c:v>-20</c:v>
                </c:pt>
                <c:pt idx="51">
                  <c:v>-20</c:v>
                </c:pt>
                <c:pt idx="52">
                  <c:v>-20</c:v>
                </c:pt>
                <c:pt idx="53">
                  <c:v>-20</c:v>
                </c:pt>
                <c:pt idx="54">
                  <c:v>-20</c:v>
                </c:pt>
                <c:pt idx="55">
                  <c:v>-20</c:v>
                </c:pt>
                <c:pt idx="56">
                  <c:v>-20</c:v>
                </c:pt>
                <c:pt idx="57">
                  <c:v>-20</c:v>
                </c:pt>
                <c:pt idx="58">
                  <c:v>-20</c:v>
                </c:pt>
                <c:pt idx="59">
                  <c:v>-20</c:v>
                </c:pt>
                <c:pt idx="60">
                  <c:v>-2</c:v>
                </c:pt>
                <c:pt idx="61">
                  <c:v>-20</c:v>
                </c:pt>
                <c:pt idx="62">
                  <c:v>-2</c:v>
                </c:pt>
                <c:pt idx="63">
                  <c:v>-20</c:v>
                </c:pt>
                <c:pt idx="64">
                  <c:v>-20</c:v>
                </c:pt>
                <c:pt idx="65">
                  <c:v>-20</c:v>
                </c:pt>
                <c:pt idx="66">
                  <c:v>-20</c:v>
                </c:pt>
                <c:pt idx="67">
                  <c:v>-20</c:v>
                </c:pt>
                <c:pt idx="68">
                  <c:v>-20</c:v>
                </c:pt>
                <c:pt idx="69">
                  <c:v>-20</c:v>
                </c:pt>
                <c:pt idx="70">
                  <c:v>-20</c:v>
                </c:pt>
                <c:pt idx="71">
                  <c:v>-2</c:v>
                </c:pt>
                <c:pt idx="72">
                  <c:v>-20</c:v>
                </c:pt>
                <c:pt idx="73">
                  <c:v>-20</c:v>
                </c:pt>
                <c:pt idx="74">
                  <c:v>-20</c:v>
                </c:pt>
                <c:pt idx="75">
                  <c:v>-20</c:v>
                </c:pt>
                <c:pt idx="76">
                  <c:v>-2</c:v>
                </c:pt>
                <c:pt idx="77">
                  <c:v>-20</c:v>
                </c:pt>
                <c:pt idx="78">
                  <c:v>-20</c:v>
                </c:pt>
                <c:pt idx="79">
                  <c:v>-2</c:v>
                </c:pt>
                <c:pt idx="80">
                  <c:v>-20</c:v>
                </c:pt>
                <c:pt idx="81">
                  <c:v>-2</c:v>
                </c:pt>
                <c:pt idx="82">
                  <c:v>-20</c:v>
                </c:pt>
                <c:pt idx="83">
                  <c:v>-20</c:v>
                </c:pt>
                <c:pt idx="84">
                  <c:v>-20</c:v>
                </c:pt>
                <c:pt idx="85">
                  <c:v>-20</c:v>
                </c:pt>
                <c:pt idx="86">
                  <c:v>-20</c:v>
                </c:pt>
                <c:pt idx="87">
                  <c:v>-20</c:v>
                </c:pt>
                <c:pt idx="88">
                  <c:v>-20</c:v>
                </c:pt>
                <c:pt idx="89">
                  <c:v>-20</c:v>
                </c:pt>
                <c:pt idx="90">
                  <c:v>-20</c:v>
                </c:pt>
                <c:pt idx="91">
                  <c:v>-20</c:v>
                </c:pt>
                <c:pt idx="92">
                  <c:v>-20</c:v>
                </c:pt>
                <c:pt idx="93">
                  <c:v>-2</c:v>
                </c:pt>
                <c:pt idx="94">
                  <c:v>-20</c:v>
                </c:pt>
                <c:pt idx="95">
                  <c:v>-20</c:v>
                </c:pt>
                <c:pt idx="96">
                  <c:v>-2</c:v>
                </c:pt>
                <c:pt idx="97">
                  <c:v>-20</c:v>
                </c:pt>
                <c:pt idx="98">
                  <c:v>-2</c:v>
                </c:pt>
                <c:pt idx="99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8A-4A81-8B02-CDBF1377C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814512"/>
        <c:axId val="1555814992"/>
      </c:lineChart>
      <c:catAx>
        <c:axId val="1555814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14992"/>
        <c:crosses val="autoZero"/>
        <c:auto val="1"/>
        <c:lblAlgn val="ctr"/>
        <c:lblOffset val="1"/>
        <c:tickLblSkip val="10"/>
        <c:tickMarkSkip val="20"/>
        <c:noMultiLvlLbl val="0"/>
      </c:catAx>
      <c:valAx>
        <c:axId val="1555814992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yrs to double or halflife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1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4930162790642222E-2"/>
          <c:y val="0.47580837836394119"/>
          <c:w val="0.2276090096757907"/>
          <c:h val="0.17086747115387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LnDTcpv vs. OrdDesc  -- BetaUZeta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Sheet2!$AQ$3</c:f>
              <c:strCache>
                <c:ptCount val="1"/>
                <c:pt idx="0">
                  <c:v> GeoMeanNcpv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Sheet2!$AP$4:$AP$55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Sheet2!$AQ$4:$AQ$55</c:f>
              <c:numCache>
                <c:formatCode>General</c:formatCode>
                <c:ptCount val="52"/>
                <c:pt idx="0">
                  <c:v>11.1687062813917</c:v>
                </c:pt>
                <c:pt idx="1">
                  <c:v>13.9484766193301</c:v>
                </c:pt>
                <c:pt idx="2">
                  <c:v>21.920310216782902</c:v>
                </c:pt>
                <c:pt idx="3">
                  <c:v>28.691462144686799</c:v>
                </c:pt>
                <c:pt idx="4">
                  <c:v>30.831153076069</c:v>
                </c:pt>
                <c:pt idx="5">
                  <c:v>39.9550997996501</c:v>
                </c:pt>
                <c:pt idx="6">
                  <c:v>43.892368357152897</c:v>
                </c:pt>
                <c:pt idx="7">
                  <c:v>47.569948496923899</c:v>
                </c:pt>
                <c:pt idx="8">
                  <c:v>48.347492179015802</c:v>
                </c:pt>
                <c:pt idx="9">
                  <c:v>52.376330532025598</c:v>
                </c:pt>
                <c:pt idx="10">
                  <c:v>57.063561052566598</c:v>
                </c:pt>
                <c:pt idx="11">
                  <c:v>66.675707720278396</c:v>
                </c:pt>
                <c:pt idx="12">
                  <c:v>67.081741181934106</c:v>
                </c:pt>
                <c:pt idx="13">
                  <c:v>69.781659481557099</c:v>
                </c:pt>
                <c:pt idx="14">
                  <c:v>73.023352429205801</c:v>
                </c:pt>
                <c:pt idx="15">
                  <c:v>74.702811192082905</c:v>
                </c:pt>
                <c:pt idx="16">
                  <c:v>77.404651023048999</c:v>
                </c:pt>
                <c:pt idx="17">
                  <c:v>82.4874535914402</c:v>
                </c:pt>
                <c:pt idx="18">
                  <c:v>83.599043056724</c:v>
                </c:pt>
                <c:pt idx="19">
                  <c:v>86.188920401638597</c:v>
                </c:pt>
                <c:pt idx="20">
                  <c:v>86.246623122299695</c:v>
                </c:pt>
                <c:pt idx="21">
                  <c:v>90.213136515698196</c:v>
                </c:pt>
                <c:pt idx="22">
                  <c:v>104.425427937835</c:v>
                </c:pt>
                <c:pt idx="23">
                  <c:v>105.761855127451</c:v>
                </c:pt>
                <c:pt idx="24">
                  <c:v>111.295822024009</c:v>
                </c:pt>
                <c:pt idx="25">
                  <c:v>111.54460991011599</c:v>
                </c:pt>
                <c:pt idx="26">
                  <c:v>117.79711371676299</c:v>
                </c:pt>
                <c:pt idx="27">
                  <c:v>132.74106372935199</c:v>
                </c:pt>
                <c:pt idx="28">
                  <c:v>134.611106525427</c:v>
                </c:pt>
                <c:pt idx="29">
                  <c:v>135.65839450620001</c:v>
                </c:pt>
                <c:pt idx="30">
                  <c:v>146.32785107422299</c:v>
                </c:pt>
                <c:pt idx="31">
                  <c:v>152.83814968783099</c:v>
                </c:pt>
                <c:pt idx="32">
                  <c:v>164.16485616598899</c:v>
                </c:pt>
                <c:pt idx="33">
                  <c:v>169.335643028867</c:v>
                </c:pt>
                <c:pt idx="34">
                  <c:v>175.47592427452801</c:v>
                </c:pt>
                <c:pt idx="35">
                  <c:v>190.063147401067</c:v>
                </c:pt>
                <c:pt idx="36">
                  <c:v>190.632762137047</c:v>
                </c:pt>
                <c:pt idx="37">
                  <c:v>191.483680766795</c:v>
                </c:pt>
                <c:pt idx="38">
                  <c:v>198.07145175415801</c:v>
                </c:pt>
                <c:pt idx="39">
                  <c:v>201.69278618730999</c:v>
                </c:pt>
                <c:pt idx="40">
                  <c:v>202.52965215</c:v>
                </c:pt>
                <c:pt idx="41">
                  <c:v>207.00362315669699</c:v>
                </c:pt>
                <c:pt idx="42">
                  <c:v>234.73928090543299</c:v>
                </c:pt>
                <c:pt idx="43">
                  <c:v>270.72319811940702</c:v>
                </c:pt>
                <c:pt idx="44">
                  <c:v>284.00758792680102</c:v>
                </c:pt>
                <c:pt idx="45">
                  <c:v>284.33789757962199</c:v>
                </c:pt>
                <c:pt idx="46">
                  <c:v>295.55067247428099</c:v>
                </c:pt>
                <c:pt idx="47">
                  <c:v>296.05693709149898</c:v>
                </c:pt>
                <c:pt idx="48">
                  <c:v>315.68921425984701</c:v>
                </c:pt>
                <c:pt idx="49">
                  <c:v>331.93993432547398</c:v>
                </c:pt>
                <c:pt idx="50">
                  <c:v>395.80247599023397</c:v>
                </c:pt>
                <c:pt idx="51">
                  <c:v>522.77040849688501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4-467A-B557-6FF834499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52064"/>
        <c:axId val="137859744"/>
      </c:scatterChart>
      <c:valAx>
        <c:axId val="1378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9744"/>
        <c:crosses val="autoZero"/>
        <c:crossBetween val="midCat"/>
      </c:valAx>
      <c:valAx>
        <c:axId val="13785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Ln(Ncpv1/Ncpv0) vs. OrdAsc  -- Gamma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Sheet2!$BC$3</c:f>
              <c:strCache>
                <c:ptCount val="1"/>
                <c:pt idx="0">
                  <c:v> Ln(Ncpv1/Ncpv0)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Sheet2!$BB$4:$BB$51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Sheet2!$BC$4:$BC$51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0.69314718055994495</c:v>
                </c:pt>
                <c:pt idx="5">
                  <c:v>0.71912266696320504</c:v>
                </c:pt>
                <c:pt idx="6">
                  <c:v>0.74336693753897098</c:v>
                </c:pt>
                <c:pt idx="7">
                  <c:v>0.75828648273090604</c:v>
                </c:pt>
                <c:pt idx="8">
                  <c:v>0.76952015934451901</c:v>
                </c:pt>
                <c:pt idx="9">
                  <c:v>0.81431202532370905</c:v>
                </c:pt>
                <c:pt idx="10">
                  <c:v>0.81574950265227697</c:v>
                </c:pt>
                <c:pt idx="11">
                  <c:v>0.87565106938102499</c:v>
                </c:pt>
                <c:pt idx="12">
                  <c:v>0.88114802328104402</c:v>
                </c:pt>
                <c:pt idx="13">
                  <c:v>0.89962367938894305</c:v>
                </c:pt>
                <c:pt idx="14">
                  <c:v>0.90694486945591701</c:v>
                </c:pt>
                <c:pt idx="15">
                  <c:v>0.91815814604894996</c:v>
                </c:pt>
                <c:pt idx="16">
                  <c:v>0.92953595862417504</c:v>
                </c:pt>
                <c:pt idx="17">
                  <c:v>0.93568599163189303</c:v>
                </c:pt>
                <c:pt idx="18">
                  <c:v>0.95155887071161305</c:v>
                </c:pt>
                <c:pt idx="19">
                  <c:v>0.95189525553902399</c:v>
                </c:pt>
                <c:pt idx="20">
                  <c:v>0.97077891715822395</c:v>
                </c:pt>
                <c:pt idx="21">
                  <c:v>0.97876099994766697</c:v>
                </c:pt>
                <c:pt idx="22">
                  <c:v>0.981640612082605</c:v>
                </c:pt>
                <c:pt idx="23">
                  <c:v>0.98705980276236205</c:v>
                </c:pt>
                <c:pt idx="24">
                  <c:v>1.0068047394149799</c:v>
                </c:pt>
                <c:pt idx="25">
                  <c:v>1.0116009116784701</c:v>
                </c:pt>
                <c:pt idx="26">
                  <c:v>1.04901534752873</c:v>
                </c:pt>
                <c:pt idx="27">
                  <c:v>1.05678932253308</c:v>
                </c:pt>
                <c:pt idx="28">
                  <c:v>1.0690118188918101</c:v>
                </c:pt>
                <c:pt idx="29">
                  <c:v>1.10575517618048</c:v>
                </c:pt>
                <c:pt idx="30">
                  <c:v>1.1138564863112199</c:v>
                </c:pt>
                <c:pt idx="31">
                  <c:v>1.11496779344019</c:v>
                </c:pt>
                <c:pt idx="32">
                  <c:v>1.15854211341749</c:v>
                </c:pt>
                <c:pt idx="33">
                  <c:v>1.2514866441357599</c:v>
                </c:pt>
                <c:pt idx="34">
                  <c:v>1.2656663733312701</c:v>
                </c:pt>
                <c:pt idx="35">
                  <c:v>1.3016814776563099</c:v>
                </c:pt>
                <c:pt idx="36">
                  <c:v>1.31567679390593</c:v>
                </c:pt>
                <c:pt idx="37">
                  <c:v>1.4362176698864899</c:v>
                </c:pt>
                <c:pt idx="38">
                  <c:v>1.45528723260684</c:v>
                </c:pt>
                <c:pt idx="39">
                  <c:v>1.48345810957353</c:v>
                </c:pt>
                <c:pt idx="40">
                  <c:v>1.49231255519668</c:v>
                </c:pt>
                <c:pt idx="41">
                  <c:v>1.5127935096166301</c:v>
                </c:pt>
                <c:pt idx="42">
                  <c:v>1.5193448689070601</c:v>
                </c:pt>
                <c:pt idx="43">
                  <c:v>1.59122800105467</c:v>
                </c:pt>
                <c:pt idx="44">
                  <c:v>1.6053893239081001</c:v>
                </c:pt>
                <c:pt idx="45">
                  <c:v>1.6094379124341001</c:v>
                </c:pt>
                <c:pt idx="46">
                  <c:v>1.68808103975321</c:v>
                </c:pt>
                <c:pt idx="47">
                  <c:v>1.8009761243329701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06-4012-888C-4184DCC2F610}"/>
            </c:ext>
          </c:extLst>
        </c:ser>
        <c:ser>
          <c:idx val="1"/>
          <c:order val="1"/>
          <c:tx>
            <c:strRef>
              <c:f>Sheet2!$BD$3</c:f>
              <c:strCache>
                <c:ptCount val="1"/>
                <c:pt idx="0">
                  <c:v>ln^2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Sheet2!$BB$4:$BB$51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Sheet2!$BD$4:$BD$51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-0.36651292058166485</c:v>
                </c:pt>
                <c:pt idx="5">
                  <c:v>-0.32972332807551524</c:v>
                </c:pt>
                <c:pt idx="6">
                  <c:v>-0.29656549676637789</c:v>
                </c:pt>
                <c:pt idx="7">
                  <c:v>-0.27669401918791126</c:v>
                </c:pt>
                <c:pt idx="8">
                  <c:v>-0.26198812806778199</c:v>
                </c:pt>
                <c:pt idx="9">
                  <c:v>-0.20541166293577762</c:v>
                </c:pt>
                <c:pt idx="10">
                  <c:v>-0.20364795319044121</c:v>
                </c:pt>
                <c:pt idx="11">
                  <c:v>-0.13278759002167523</c:v>
                </c:pt>
                <c:pt idx="12">
                  <c:v>-0.12652964981417844</c:v>
                </c:pt>
                <c:pt idx="13">
                  <c:v>-0.10577873711251386</c:v>
                </c:pt>
                <c:pt idx="14">
                  <c:v>-9.7673614114698187E-2</c:v>
                </c:pt>
                <c:pt idx="15">
                  <c:v>-8.5385630814352728E-2</c:v>
                </c:pt>
                <c:pt idx="16">
                  <c:v>-7.3069786582719509E-2</c:v>
                </c:pt>
                <c:pt idx="17">
                  <c:v>-6.6475337815977462E-2</c:v>
                </c:pt>
                <c:pt idx="18">
                  <c:v>-4.9653722681582704E-2</c:v>
                </c:pt>
                <c:pt idx="19">
                  <c:v>-4.930027593834499E-2</c:v>
                </c:pt>
                <c:pt idx="20">
                  <c:v>-2.9656522343027326E-2</c:v>
                </c:pt>
                <c:pt idx="21">
                  <c:v>-2.1467792968716044E-2</c:v>
                </c:pt>
                <c:pt idx="22">
                  <c:v>-1.8530013089001821E-2</c:v>
                </c:pt>
                <c:pt idx="23">
                  <c:v>-1.302465094612513E-2</c:v>
                </c:pt>
                <c:pt idx="24">
                  <c:v>6.7816916725724269E-3</c:v>
                </c:pt>
                <c:pt idx="25">
                  <c:v>1.1534137037535518E-2</c:v>
                </c:pt>
                <c:pt idx="26">
                  <c:v>4.7851959935093537E-2</c:v>
                </c:pt>
                <c:pt idx="27">
                  <c:v>5.5235370591553166E-2</c:v>
                </c:pt>
                <c:pt idx="28">
                  <c:v>6.6734688007805798E-2</c:v>
                </c:pt>
                <c:pt idx="29">
                  <c:v>0.10052851890431838</c:v>
                </c:pt>
                <c:pt idx="30">
                  <c:v>0.10782830583739071</c:v>
                </c:pt>
                <c:pt idx="31">
                  <c:v>0.10882551968790356</c:v>
                </c:pt>
                <c:pt idx="32">
                  <c:v>0.14716241590631621</c:v>
                </c:pt>
                <c:pt idx="33">
                  <c:v>0.22433215994761699</c:v>
                </c:pt>
                <c:pt idx="34">
                  <c:v>0.23559876081798126</c:v>
                </c:pt>
                <c:pt idx="35">
                  <c:v>0.26365687303996516</c:v>
                </c:pt>
                <c:pt idx="36">
                  <c:v>0.27435120540324137</c:v>
                </c:pt>
                <c:pt idx="37">
                  <c:v>0.36201303983973709</c:v>
                </c:pt>
                <c:pt idx="38">
                  <c:v>0.37520329186687296</c:v>
                </c:pt>
                <c:pt idx="39">
                  <c:v>0.39437592278586586</c:v>
                </c:pt>
                <c:pt idx="40">
                  <c:v>0.40032696723938693</c:v>
                </c:pt>
                <c:pt idx="41">
                  <c:v>0.41395794804131952</c:v>
                </c:pt>
                <c:pt idx="42">
                  <c:v>0.41827923464985511</c:v>
                </c:pt>
                <c:pt idx="43">
                  <c:v>0.46450604584790905</c:v>
                </c:pt>
                <c:pt idx="44">
                  <c:v>0.4733662965799223</c:v>
                </c:pt>
                <c:pt idx="45">
                  <c:v>0.47588499532711043</c:v>
                </c:pt>
                <c:pt idx="46">
                  <c:v>0.52359240435382459</c:v>
                </c:pt>
                <c:pt idx="47">
                  <c:v>0.58832880921142594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06-4012-888C-4184DCC2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419727"/>
        <c:axId val="1062413967"/>
      </c:scatterChart>
      <c:valAx>
        <c:axId val="106241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413967"/>
        <c:crosses val="autoZero"/>
        <c:crossBetween val="midCat"/>
      </c:valAx>
      <c:valAx>
        <c:axId val="10624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41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Ln(Ncpv1/Ncpv0) vs. OrdAsc  -- Omega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Sheet2!$BO$3</c:f>
              <c:strCache>
                <c:ptCount val="1"/>
                <c:pt idx="0">
                  <c:v> Ln(Ncpv1/Ncpv0)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016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581692913385828"/>
                  <c:y val="-6.39797571780205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Sheet2!$BN$4:$BN$103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Sheet2!$BO$4:$BO$103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0.64322000660343803</c:v>
                </c:pt>
                <c:pt idx="5">
                  <c:v>0.69314718055994495</c:v>
                </c:pt>
                <c:pt idx="6">
                  <c:v>0.71158402918390395</c:v>
                </c:pt>
                <c:pt idx="7">
                  <c:v>0.71633662547885502</c:v>
                </c:pt>
                <c:pt idx="8">
                  <c:v>0.71912266696320504</c:v>
                </c:pt>
                <c:pt idx="9">
                  <c:v>0.72050450977147895</c:v>
                </c:pt>
                <c:pt idx="10">
                  <c:v>0.73145714683788798</c:v>
                </c:pt>
                <c:pt idx="11">
                  <c:v>0.73755823232001705</c:v>
                </c:pt>
                <c:pt idx="12">
                  <c:v>0.74087748734118197</c:v>
                </c:pt>
                <c:pt idx="13">
                  <c:v>0.74282511069064305</c:v>
                </c:pt>
                <c:pt idx="14">
                  <c:v>0.74336693753897098</c:v>
                </c:pt>
                <c:pt idx="15">
                  <c:v>0.75828648273090604</c:v>
                </c:pt>
                <c:pt idx="16">
                  <c:v>0.76037248640773203</c:v>
                </c:pt>
                <c:pt idx="17">
                  <c:v>0.76487136135838996</c:v>
                </c:pt>
                <c:pt idx="18">
                  <c:v>0.76952015934451901</c:v>
                </c:pt>
                <c:pt idx="19">
                  <c:v>0.77247699532592795</c:v>
                </c:pt>
                <c:pt idx="20">
                  <c:v>0.77566955832117002</c:v>
                </c:pt>
                <c:pt idx="21">
                  <c:v>0.77604848209302801</c:v>
                </c:pt>
                <c:pt idx="22">
                  <c:v>0.78275933924963204</c:v>
                </c:pt>
                <c:pt idx="23">
                  <c:v>0.78828285552131805</c:v>
                </c:pt>
                <c:pt idx="24">
                  <c:v>0.78970618974917695</c:v>
                </c:pt>
                <c:pt idx="25">
                  <c:v>0.804495564005549</c:v>
                </c:pt>
                <c:pt idx="26">
                  <c:v>0.80790710875306504</c:v>
                </c:pt>
                <c:pt idx="27">
                  <c:v>0.81431202532370905</c:v>
                </c:pt>
                <c:pt idx="28">
                  <c:v>0.81574950265227697</c:v>
                </c:pt>
                <c:pt idx="29">
                  <c:v>0.81666608099877902</c:v>
                </c:pt>
                <c:pt idx="30">
                  <c:v>0.81852013573278504</c:v>
                </c:pt>
                <c:pt idx="31">
                  <c:v>0.82788329794584203</c:v>
                </c:pt>
                <c:pt idx="32">
                  <c:v>0.83165344451920098</c:v>
                </c:pt>
                <c:pt idx="33">
                  <c:v>0.83419410525663995</c:v>
                </c:pt>
                <c:pt idx="34">
                  <c:v>0.83895201240129402</c:v>
                </c:pt>
                <c:pt idx="35">
                  <c:v>0.84301853076782896</c:v>
                </c:pt>
                <c:pt idx="36">
                  <c:v>0.85007805331612796</c:v>
                </c:pt>
                <c:pt idx="37">
                  <c:v>0.85270456077647305</c:v>
                </c:pt>
                <c:pt idx="38">
                  <c:v>0.85596726952393198</c:v>
                </c:pt>
                <c:pt idx="39">
                  <c:v>0.86358486536190204</c:v>
                </c:pt>
                <c:pt idx="40">
                  <c:v>0.86434031225432095</c:v>
                </c:pt>
                <c:pt idx="41">
                  <c:v>0.86760615875070002</c:v>
                </c:pt>
                <c:pt idx="42">
                  <c:v>0.87565106938102499</c:v>
                </c:pt>
                <c:pt idx="43">
                  <c:v>0.87580220566559097</c:v>
                </c:pt>
                <c:pt idx="44">
                  <c:v>0.88114802328104402</c:v>
                </c:pt>
                <c:pt idx="45">
                  <c:v>0.88626703285245201</c:v>
                </c:pt>
                <c:pt idx="46">
                  <c:v>0.89026221476610301</c:v>
                </c:pt>
                <c:pt idx="47">
                  <c:v>0.89318460388390397</c:v>
                </c:pt>
                <c:pt idx="48">
                  <c:v>0.89962367938894305</c:v>
                </c:pt>
                <c:pt idx="49">
                  <c:v>0.90073550279421799</c:v>
                </c:pt>
                <c:pt idx="50">
                  <c:v>0.90694486945591701</c:v>
                </c:pt>
                <c:pt idx="51">
                  <c:v>0.90787216140855898</c:v>
                </c:pt>
                <c:pt idx="52">
                  <c:v>0.91815814604894996</c:v>
                </c:pt>
                <c:pt idx="53">
                  <c:v>0.92200955259498696</c:v>
                </c:pt>
                <c:pt idx="54">
                  <c:v>0.92547439047311897</c:v>
                </c:pt>
                <c:pt idx="55">
                  <c:v>0.92661461521579103</c:v>
                </c:pt>
                <c:pt idx="56">
                  <c:v>0.92953595862417504</c:v>
                </c:pt>
                <c:pt idx="57">
                  <c:v>0.93568599163189303</c:v>
                </c:pt>
                <c:pt idx="58">
                  <c:v>0.94666668139916499</c:v>
                </c:pt>
                <c:pt idx="59">
                  <c:v>0.95155887071161305</c:v>
                </c:pt>
                <c:pt idx="60">
                  <c:v>0.95189525553902399</c:v>
                </c:pt>
                <c:pt idx="61">
                  <c:v>0.97077891715822395</c:v>
                </c:pt>
                <c:pt idx="62">
                  <c:v>0.97876099994766697</c:v>
                </c:pt>
                <c:pt idx="63">
                  <c:v>0.981640612082605</c:v>
                </c:pt>
                <c:pt idx="64">
                  <c:v>0.98705980276236205</c:v>
                </c:pt>
                <c:pt idx="65">
                  <c:v>1.0068047394149799</c:v>
                </c:pt>
                <c:pt idx="66">
                  <c:v>1.0116009116784701</c:v>
                </c:pt>
                <c:pt idx="67">
                  <c:v>1.02748494465252</c:v>
                </c:pt>
                <c:pt idx="68">
                  <c:v>1.04702491987761</c:v>
                </c:pt>
                <c:pt idx="69">
                  <c:v>1.04901534752873</c:v>
                </c:pt>
                <c:pt idx="70">
                  <c:v>1.05678932253308</c:v>
                </c:pt>
                <c:pt idx="71">
                  <c:v>1.0690118188918101</c:v>
                </c:pt>
                <c:pt idx="72">
                  <c:v>1.0866587018551599</c:v>
                </c:pt>
                <c:pt idx="73">
                  <c:v>1.0986122886681</c:v>
                </c:pt>
                <c:pt idx="74">
                  <c:v>1.10575517618048</c:v>
                </c:pt>
                <c:pt idx="75">
                  <c:v>1.1130703718433299</c:v>
                </c:pt>
                <c:pt idx="76">
                  <c:v>1.1138564863112199</c:v>
                </c:pt>
                <c:pt idx="77">
                  <c:v>1.11496779344019</c:v>
                </c:pt>
                <c:pt idx="78">
                  <c:v>1.1317644959850099</c:v>
                </c:pt>
                <c:pt idx="79">
                  <c:v>1.1451323043029999</c:v>
                </c:pt>
                <c:pt idx="80">
                  <c:v>1.15854211341749</c:v>
                </c:pt>
                <c:pt idx="81">
                  <c:v>1.1622489609545299</c:v>
                </c:pt>
                <c:pt idx="82">
                  <c:v>1.19633917947086</c:v>
                </c:pt>
                <c:pt idx="83">
                  <c:v>1.24828200506033</c:v>
                </c:pt>
                <c:pt idx="84">
                  <c:v>1.2514866441357599</c:v>
                </c:pt>
                <c:pt idx="85">
                  <c:v>1.2656663733312701</c:v>
                </c:pt>
                <c:pt idx="86">
                  <c:v>1.3016814776563099</c:v>
                </c:pt>
                <c:pt idx="87">
                  <c:v>1.31567679390593</c:v>
                </c:pt>
                <c:pt idx="88">
                  <c:v>1.42138568093116</c:v>
                </c:pt>
                <c:pt idx="89">
                  <c:v>1.4362176698864899</c:v>
                </c:pt>
                <c:pt idx="90">
                  <c:v>1.45528723260684</c:v>
                </c:pt>
                <c:pt idx="91">
                  <c:v>1.48345810957353</c:v>
                </c:pt>
                <c:pt idx="92">
                  <c:v>1.49231255519668</c:v>
                </c:pt>
                <c:pt idx="93">
                  <c:v>1.5127935096166301</c:v>
                </c:pt>
                <c:pt idx="94">
                  <c:v>1.5193448689070601</c:v>
                </c:pt>
                <c:pt idx="95">
                  <c:v>1.59122800105467</c:v>
                </c:pt>
                <c:pt idx="96">
                  <c:v>1.6053893239081001</c:v>
                </c:pt>
                <c:pt idx="97">
                  <c:v>1.6094379124341001</c:v>
                </c:pt>
                <c:pt idx="98">
                  <c:v>1.68808103975321</c:v>
                </c:pt>
                <c:pt idx="99">
                  <c:v>1.8009761243329701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5F-4CF2-830D-25263F2EB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435343"/>
        <c:axId val="1059435823"/>
      </c:scatterChart>
      <c:valAx>
        <c:axId val="1059435343"/>
        <c:scaling>
          <c:orientation val="minMax"/>
          <c:max val="1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435823"/>
        <c:crosses val="autoZero"/>
        <c:crossBetween val="midCat"/>
      </c:valAx>
      <c:valAx>
        <c:axId val="1059435823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43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TdNcpv vs. RankA  -- Omega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Sheet2!$CA$3</c:f>
              <c:strCache>
                <c:ptCount val="1"/>
                <c:pt idx="0">
                  <c:v> TdNcpv</c:v>
                </c:pt>
              </c:strCache>
            </c:strRef>
          </c:tx>
          <c:spPr>
            <a:ln w="12700" cap="rnd">
              <a:gradFill>
                <a:gsLst>
                  <a:gs pos="13000">
                    <a:srgbClr val="67FD99"/>
                  </a:gs>
                  <a:gs pos="59000">
                    <a:srgbClr val="FF0000"/>
                  </a:gs>
                  <a:gs pos="84000">
                    <a:srgbClr val="00B050"/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xVal>
            <c:numRef>
              <c:f>Sheet2!$BZ$4:$BZ$100</c:f>
              <c:numCache>
                <c:formatCode>General</c:formatCode>
                <c:ptCount val="9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92</c:v>
                </c:pt>
                <c:pt idx="89">
                  <c:v>93</c:v>
                </c:pt>
                <c:pt idx="90">
                  <c:v>94</c:v>
                </c:pt>
                <c:pt idx="91">
                  <c:v>95</c:v>
                </c:pt>
                <c:pt idx="92">
                  <c:v>96</c:v>
                </c:pt>
                <c:pt idx="93">
                  <c:v>97</c:v>
                </c:pt>
                <c:pt idx="94">
                  <c:v>98</c:v>
                </c:pt>
                <c:pt idx="95">
                  <c:v>99</c:v>
                </c:pt>
                <c:pt idx="96">
                  <c:v>100</c:v>
                </c:pt>
              </c:numCache>
            </c:numRef>
          </c:xVal>
          <c:yVal>
            <c:numRef>
              <c:f>Sheet2!$CA$4:$CA$100</c:f>
              <c:numCache>
                <c:formatCode>General</c:formatCode>
                <c:ptCount val="97"/>
                <c:pt idx="0">
                  <c:v>-6.7638190992332996</c:v>
                </c:pt>
                <c:pt idx="1">
                  <c:v>0</c:v>
                </c:pt>
                <c:pt idx="2">
                  <c:v>0</c:v>
                </c:pt>
                <c:pt idx="3">
                  <c:v>0.42773984632091899</c:v>
                </c:pt>
                <c:pt idx="4">
                  <c:v>0.46718466342889597</c:v>
                </c:pt>
                <c:pt idx="5">
                  <c:v>0.5</c:v>
                </c:pt>
                <c:pt idx="6">
                  <c:v>0.50183289462069203</c:v>
                </c:pt>
                <c:pt idx="7">
                  <c:v>0.50836634313100004</c:v>
                </c:pt>
                <c:pt idx="8">
                  <c:v>0.54477708579998796</c:v>
                </c:pt>
                <c:pt idx="9">
                  <c:v>0.54839523675007995</c:v>
                </c:pt>
                <c:pt idx="10">
                  <c:v>0.56006862334195295</c:v>
                </c:pt>
                <c:pt idx="11">
                  <c:v>0.56529289898435398</c:v>
                </c:pt>
                <c:pt idx="12">
                  <c:v>0.58268028285003703</c:v>
                </c:pt>
                <c:pt idx="13">
                  <c:v>0.59516115757053301</c:v>
                </c:pt>
                <c:pt idx="14">
                  <c:v>0.60529877460913695</c:v>
                </c:pt>
                <c:pt idx="15">
                  <c:v>0.69086586625928403</c:v>
                </c:pt>
                <c:pt idx="16">
                  <c:v>0.70432789243838301</c:v>
                </c:pt>
                <c:pt idx="17">
                  <c:v>0.74188197315272697</c:v>
                </c:pt>
                <c:pt idx="18">
                  <c:v>0.75794924810075204</c:v>
                </c:pt>
                <c:pt idx="19">
                  <c:v>0.76169036693752001</c:v>
                </c:pt>
                <c:pt idx="20">
                  <c:v>0.82875191198585496</c:v>
                </c:pt>
                <c:pt idx="21">
                  <c:v>0.88058350942789498</c:v>
                </c:pt>
                <c:pt idx="22">
                  <c:v>0.88666460315957996</c:v>
                </c:pt>
                <c:pt idx="23">
                  <c:v>0.90947481200908398</c:v>
                </c:pt>
                <c:pt idx="24">
                  <c:v>0.93356645079507306</c:v>
                </c:pt>
                <c:pt idx="25">
                  <c:v>0.96594946309006002</c:v>
                </c:pt>
                <c:pt idx="26">
                  <c:v>0.96818108314798801</c:v>
                </c:pt>
                <c:pt idx="27">
                  <c:v>0.96976665571058895</c:v>
                </c:pt>
                <c:pt idx="28">
                  <c:v>0.98480442772704402</c:v>
                </c:pt>
                <c:pt idx="29">
                  <c:v>1</c:v>
                </c:pt>
                <c:pt idx="30">
                  <c:v>1.0266371224975599</c:v>
                </c:pt>
                <c:pt idx="31">
                  <c:v>1.0689930831830301</c:v>
                </c:pt>
                <c:pt idx="32">
                  <c:v>1.10069142891592</c:v>
                </c:pt>
                <c:pt idx="33">
                  <c:v>1.1219645718307201</c:v>
                </c:pt>
                <c:pt idx="34">
                  <c:v>1.1275589010726801</c:v>
                </c:pt>
                <c:pt idx="35">
                  <c:v>1.1859527754741701</c:v>
                </c:pt>
                <c:pt idx="36">
                  <c:v>1.2386126258466601</c:v>
                </c:pt>
                <c:pt idx="37">
                  <c:v>1.2555454209550201</c:v>
                </c:pt>
                <c:pt idx="38">
                  <c:v>1.33098921793891</c:v>
                </c:pt>
                <c:pt idx="39">
                  <c:v>1.3534766599671799</c:v>
                </c:pt>
                <c:pt idx="40">
                  <c:v>1.36576860051204</c:v>
                </c:pt>
                <c:pt idx="41">
                  <c:v>1.4011571585570699</c:v>
                </c:pt>
                <c:pt idx="42">
                  <c:v>1.4934633087510301</c:v>
                </c:pt>
                <c:pt idx="43">
                  <c:v>1.4952285205156799</c:v>
                </c:pt>
                <c:pt idx="44">
                  <c:v>1.5214245616098601</c:v>
                </c:pt>
                <c:pt idx="45">
                  <c:v>1.5840298982876999</c:v>
                </c:pt>
                <c:pt idx="46">
                  <c:v>1.6216092786808101</c:v>
                </c:pt>
                <c:pt idx="47">
                  <c:v>1.6401470001692</c:v>
                </c:pt>
                <c:pt idx="48">
                  <c:v>1.6475077626477199</c:v>
                </c:pt>
                <c:pt idx="49">
                  <c:v>1.6703211594615599</c:v>
                </c:pt>
                <c:pt idx="50">
                  <c:v>1.6964970459034301</c:v>
                </c:pt>
                <c:pt idx="51">
                  <c:v>1.77096800717088</c:v>
                </c:pt>
                <c:pt idx="52">
                  <c:v>1.7780308680017001</c:v>
                </c:pt>
                <c:pt idx="53">
                  <c:v>1.82693860112379</c:v>
                </c:pt>
                <c:pt idx="54">
                  <c:v>1.8360039553221701</c:v>
                </c:pt>
                <c:pt idx="55">
                  <c:v>1.8904726185289</c:v>
                </c:pt>
                <c:pt idx="56">
                  <c:v>1.91635893552736</c:v>
                </c:pt>
                <c:pt idx="57">
                  <c:v>1.9530068344379501</c:v>
                </c:pt>
                <c:pt idx="58">
                  <c:v>2.0022247538746898</c:v>
                </c:pt>
                <c:pt idx="59">
                  <c:v>2.0565490951229899</c:v>
                </c:pt>
                <c:pt idx="60">
                  <c:v>2.05813092065369</c:v>
                </c:pt>
                <c:pt idx="61">
                  <c:v>2.1462626022611202</c:v>
                </c:pt>
                <c:pt idx="62">
                  <c:v>2.1843899546479801</c:v>
                </c:pt>
                <c:pt idx="63">
                  <c:v>2.19341642216351</c:v>
                </c:pt>
                <c:pt idx="64">
                  <c:v>2.2890908892788602</c:v>
                </c:pt>
                <c:pt idx="65">
                  <c:v>2.3328494051809101</c:v>
                </c:pt>
                <c:pt idx="66">
                  <c:v>2.36939090062645</c:v>
                </c:pt>
                <c:pt idx="67">
                  <c:v>2.4739247953910399</c:v>
                </c:pt>
                <c:pt idx="68">
                  <c:v>2.5387141651918199</c:v>
                </c:pt>
                <c:pt idx="69">
                  <c:v>2.61924183178817</c:v>
                </c:pt>
                <c:pt idx="70">
                  <c:v>2.6644995105181399</c:v>
                </c:pt>
                <c:pt idx="71">
                  <c:v>2.7347921573965901</c:v>
                </c:pt>
                <c:pt idx="72">
                  <c:v>2.92758440395093</c:v>
                </c:pt>
                <c:pt idx="73">
                  <c:v>2.9692156844279798</c:v>
                </c:pt>
                <c:pt idx="74">
                  <c:v>2.9902603714766598</c:v>
                </c:pt>
                <c:pt idx="75">
                  <c:v>3.0239042243240601</c:v>
                </c:pt>
                <c:pt idx="76">
                  <c:v>3.1840236711562202</c:v>
                </c:pt>
                <c:pt idx="77">
                  <c:v>3.2768082671672301</c:v>
                </c:pt>
                <c:pt idx="78">
                  <c:v>3.75465903074095</c:v>
                </c:pt>
                <c:pt idx="79">
                  <c:v>3.8084673440058698</c:v>
                </c:pt>
                <c:pt idx="80">
                  <c:v>4.0334369756325703</c:v>
                </c:pt>
                <c:pt idx="81">
                  <c:v>4.3470310224889204</c:v>
                </c:pt>
                <c:pt idx="82">
                  <c:v>4.3662567411801296</c:v>
                </c:pt>
                <c:pt idx="83">
                  <c:v>4.5355219587329003</c:v>
                </c:pt>
                <c:pt idx="84">
                  <c:v>4.7048940953586698</c:v>
                </c:pt>
                <c:pt idx="85">
                  <c:v>4.9993848679869499</c:v>
                </c:pt>
                <c:pt idx="86">
                  <c:v>5.3231125207409598</c:v>
                </c:pt>
                <c:pt idx="87">
                  <c:v>5.4883738584803696</c:v>
                </c:pt>
                <c:pt idx="88">
                  <c:v>7.0702154994970599</c:v>
                </c:pt>
                <c:pt idx="89">
                  <c:v>7.1455288125570897</c:v>
                </c:pt>
                <c:pt idx="90">
                  <c:v>7.4303579280153196</c:v>
                </c:pt>
                <c:pt idx="91">
                  <c:v>7.9733175890349104</c:v>
                </c:pt>
                <c:pt idx="92">
                  <c:v>9.2166142723996796</c:v>
                </c:pt>
                <c:pt idx="93">
                  <c:v>12.8393587195095</c:v>
                </c:pt>
                <c:pt idx="94">
                  <c:v>13.513407333964899</c:v>
                </c:pt>
                <c:pt idx="95">
                  <c:v>15.116624378043699</c:v>
                </c:pt>
                <c:pt idx="96">
                  <c:v>18.969584471277301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1E-44E0-9C06-863E71839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135711"/>
        <c:axId val="1050134751"/>
      </c:scatterChart>
      <c:valAx>
        <c:axId val="105013571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Rank-Sort</a:t>
                </a:r>
                <a:r>
                  <a:rPr lang="en-US" baseline="0"/>
                  <a:t> Time to double assending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34751"/>
        <c:crosses val="autoZero"/>
        <c:crossBetween val="midCat"/>
      </c:valAx>
      <c:valAx>
        <c:axId val="105013475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TdNcpv </a:t>
                </a:r>
                <a:r>
                  <a:rPr lang="en-US" baseline="0"/>
                  <a:t> years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3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GrowthNcpv vs. RankAsc  -- BetaUZeta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Sheet2!$CM$3</c:f>
              <c:strCache>
                <c:ptCount val="1"/>
                <c:pt idx="0">
                  <c:v> GrowthNcpv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Sheet2!$CL$4:$CL$55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Sheet2!$CM$4:$CM$55</c:f>
              <c:numCache>
                <c:formatCode>General</c:formatCode>
                <c:ptCount val="52"/>
                <c:pt idx="0">
                  <c:v>-6.7638190992332996</c:v>
                </c:pt>
                <c:pt idx="1">
                  <c:v>0.60529877460913695</c:v>
                </c:pt>
                <c:pt idx="2">
                  <c:v>0.76169036693752001</c:v>
                </c:pt>
                <c:pt idx="3">
                  <c:v>0.82875191198585496</c:v>
                </c:pt>
                <c:pt idx="4">
                  <c:v>0.88058350942789498</c:v>
                </c:pt>
                <c:pt idx="5">
                  <c:v>0.90947481200908398</c:v>
                </c:pt>
                <c:pt idx="6">
                  <c:v>0.93356645079507306</c:v>
                </c:pt>
                <c:pt idx="7">
                  <c:v>0.96976665571058895</c:v>
                </c:pt>
                <c:pt idx="8">
                  <c:v>1</c:v>
                </c:pt>
                <c:pt idx="9">
                  <c:v>1.0266371224975599</c:v>
                </c:pt>
                <c:pt idx="10">
                  <c:v>1.1275589010726801</c:v>
                </c:pt>
                <c:pt idx="11">
                  <c:v>1.1859527754741701</c:v>
                </c:pt>
                <c:pt idx="12">
                  <c:v>1.5214245616098601</c:v>
                </c:pt>
                <c:pt idx="13">
                  <c:v>1.6401470001692</c:v>
                </c:pt>
                <c:pt idx="14">
                  <c:v>1.6475077626477199</c:v>
                </c:pt>
                <c:pt idx="15">
                  <c:v>1.6703211594615599</c:v>
                </c:pt>
                <c:pt idx="16">
                  <c:v>1.77096800717088</c:v>
                </c:pt>
                <c:pt idx="17">
                  <c:v>1.82693860112379</c:v>
                </c:pt>
                <c:pt idx="18">
                  <c:v>1.8904726185289</c:v>
                </c:pt>
                <c:pt idx="19">
                  <c:v>1.91635893552736</c:v>
                </c:pt>
                <c:pt idx="20">
                  <c:v>1.9530068344379501</c:v>
                </c:pt>
                <c:pt idx="21">
                  <c:v>2.0565490951229899</c:v>
                </c:pt>
                <c:pt idx="22">
                  <c:v>2.1462626022611202</c:v>
                </c:pt>
                <c:pt idx="23">
                  <c:v>2.1843899546479801</c:v>
                </c:pt>
                <c:pt idx="24">
                  <c:v>2.19341642216351</c:v>
                </c:pt>
                <c:pt idx="25">
                  <c:v>2.2890908892788602</c:v>
                </c:pt>
                <c:pt idx="26">
                  <c:v>2.3328494051809101</c:v>
                </c:pt>
                <c:pt idx="27">
                  <c:v>2.36939090062645</c:v>
                </c:pt>
                <c:pt idx="28">
                  <c:v>2.4739247953910399</c:v>
                </c:pt>
                <c:pt idx="29">
                  <c:v>2.5387141651918199</c:v>
                </c:pt>
                <c:pt idx="30">
                  <c:v>2.61924183178817</c:v>
                </c:pt>
                <c:pt idx="31">
                  <c:v>2.6644995105181399</c:v>
                </c:pt>
                <c:pt idx="32">
                  <c:v>2.7347921573965901</c:v>
                </c:pt>
                <c:pt idx="33">
                  <c:v>2.92758440395093</c:v>
                </c:pt>
                <c:pt idx="34">
                  <c:v>2.9692156844279798</c:v>
                </c:pt>
                <c:pt idx="35">
                  <c:v>3.1840236711562202</c:v>
                </c:pt>
                <c:pt idx="36">
                  <c:v>3.2768082671672301</c:v>
                </c:pt>
                <c:pt idx="37">
                  <c:v>3.75465903074095</c:v>
                </c:pt>
                <c:pt idx="38">
                  <c:v>3.8084673440058698</c:v>
                </c:pt>
                <c:pt idx="39">
                  <c:v>4.0334369756325703</c:v>
                </c:pt>
                <c:pt idx="40">
                  <c:v>4.3470310224889204</c:v>
                </c:pt>
                <c:pt idx="41">
                  <c:v>4.3662567411801296</c:v>
                </c:pt>
                <c:pt idx="42">
                  <c:v>4.5355219587329003</c:v>
                </c:pt>
                <c:pt idx="43">
                  <c:v>4.9993848679869499</c:v>
                </c:pt>
                <c:pt idx="44">
                  <c:v>5.3231125207409598</c:v>
                </c:pt>
                <c:pt idx="45">
                  <c:v>7.1455288125570897</c:v>
                </c:pt>
                <c:pt idx="46">
                  <c:v>7.4303579280153196</c:v>
                </c:pt>
                <c:pt idx="47">
                  <c:v>7.9733175890349104</c:v>
                </c:pt>
                <c:pt idx="48">
                  <c:v>9.2166142723996796</c:v>
                </c:pt>
                <c:pt idx="49">
                  <c:v>12.8393587195095</c:v>
                </c:pt>
                <c:pt idx="50">
                  <c:v>15.116624378043699</c:v>
                </c:pt>
                <c:pt idx="51">
                  <c:v>18.969584471277301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6E-4339-8D15-C5C6845AE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337903"/>
        <c:axId val="1085338863"/>
      </c:scatterChart>
      <c:valAx>
        <c:axId val="10853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38863"/>
        <c:crosses val="autoZero"/>
        <c:crossBetween val="midCat"/>
      </c:valAx>
      <c:valAx>
        <c:axId val="10853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33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Ln(Ncpv1/Ncpv0) vs. TdNcpv  --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Sheet2!$CY$3</c:f>
              <c:strCache>
                <c:ptCount val="1"/>
                <c:pt idx="0">
                  <c:v> Ncpv1/Ncpv0</c:v>
                </c:pt>
              </c:strCache>
            </c:strRef>
          </c:tx>
          <c:spPr>
            <a:ln w="38100" cap="rnd">
              <a:gradFill>
                <a:gsLst>
                  <a:gs pos="40000">
                    <a:srgbClr val="FF0000"/>
                  </a:gs>
                  <a:gs pos="100000">
                    <a:srgbClr val="00B050"/>
                  </a:gs>
                </a:gsLst>
                <a:lin ang="5400000" scaled="1"/>
              </a:gradFill>
              <a:round/>
            </a:ln>
            <a:effectLst/>
          </c:spPr>
          <c:marker>
            <c:symbol val="triangle"/>
            <c:size val="5"/>
            <c:spPr>
              <a:solidFill>
                <a:srgbClr val="E2AC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8890" cap="rnd">
                <a:solidFill>
                  <a:srgbClr val="E2AC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36395450568679E-2"/>
                  <c:y val="-0.372810129487243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Sheet2!$CX$9:$CX$51</c:f>
              <c:numCache>
                <c:formatCode>0.00000</c:formatCode>
                <c:ptCount val="43"/>
                <c:pt idx="0">
                  <c:v>13.513407333964899</c:v>
                </c:pt>
                <c:pt idx="1">
                  <c:v>7.0702154994970599</c:v>
                </c:pt>
                <c:pt idx="2">
                  <c:v>5.4883738584803696</c:v>
                </c:pt>
                <c:pt idx="3">
                  <c:v>4.7048940953586698</c:v>
                </c:pt>
                <c:pt idx="4">
                  <c:v>3.0239042243240601</c:v>
                </c:pt>
                <c:pt idx="5">
                  <c:v>2.9902603714766598</c:v>
                </c:pt>
                <c:pt idx="6">
                  <c:v>2.05813092065369</c:v>
                </c:pt>
                <c:pt idx="7">
                  <c:v>2.0022247538746898</c:v>
                </c:pt>
                <c:pt idx="8">
                  <c:v>1.8360039553221701</c:v>
                </c:pt>
                <c:pt idx="9">
                  <c:v>1.7780308680017001</c:v>
                </c:pt>
                <c:pt idx="10">
                  <c:v>1.6964970459034301</c:v>
                </c:pt>
                <c:pt idx="11">
                  <c:v>1.6216092786808101</c:v>
                </c:pt>
                <c:pt idx="12">
                  <c:v>1.5840298982876999</c:v>
                </c:pt>
                <c:pt idx="13">
                  <c:v>1.4952285205156799</c:v>
                </c:pt>
                <c:pt idx="14">
                  <c:v>1.4934633087510301</c:v>
                </c:pt>
                <c:pt idx="15">
                  <c:v>1.4011571585570699</c:v>
                </c:pt>
                <c:pt idx="16">
                  <c:v>1.36576860051204</c:v>
                </c:pt>
                <c:pt idx="17">
                  <c:v>1.3534766599671799</c:v>
                </c:pt>
                <c:pt idx="18">
                  <c:v>1.33098921793891</c:v>
                </c:pt>
                <c:pt idx="19">
                  <c:v>1.2555454209550201</c:v>
                </c:pt>
                <c:pt idx="20">
                  <c:v>1.2386126258466601</c:v>
                </c:pt>
                <c:pt idx="21">
                  <c:v>1.1219645718307201</c:v>
                </c:pt>
                <c:pt idx="22">
                  <c:v>1.10069142891592</c:v>
                </c:pt>
                <c:pt idx="23">
                  <c:v>1.0689930831830301</c:v>
                </c:pt>
                <c:pt idx="24">
                  <c:v>0.98480442772704402</c:v>
                </c:pt>
                <c:pt idx="25">
                  <c:v>0.96818108314798801</c:v>
                </c:pt>
                <c:pt idx="26">
                  <c:v>0.96594946309006002</c:v>
                </c:pt>
                <c:pt idx="27">
                  <c:v>0.88666460315957996</c:v>
                </c:pt>
                <c:pt idx="28">
                  <c:v>0.75794924810075204</c:v>
                </c:pt>
                <c:pt idx="29">
                  <c:v>0.74188197315272697</c:v>
                </c:pt>
                <c:pt idx="30">
                  <c:v>0.70432789243838301</c:v>
                </c:pt>
                <c:pt idx="31">
                  <c:v>0.69086586625928403</c:v>
                </c:pt>
                <c:pt idx="32">
                  <c:v>0.59516115757053301</c:v>
                </c:pt>
                <c:pt idx="33">
                  <c:v>0.58268028285003703</c:v>
                </c:pt>
                <c:pt idx="34">
                  <c:v>0.56529289898435398</c:v>
                </c:pt>
                <c:pt idx="35">
                  <c:v>0.56006862334195295</c:v>
                </c:pt>
                <c:pt idx="36">
                  <c:v>0.54839523675007995</c:v>
                </c:pt>
                <c:pt idx="37">
                  <c:v>0.54477708579998796</c:v>
                </c:pt>
                <c:pt idx="38">
                  <c:v>0.50836634313100004</c:v>
                </c:pt>
                <c:pt idx="39">
                  <c:v>0.50183289462069203</c:v>
                </c:pt>
                <c:pt idx="40">
                  <c:v>0.5</c:v>
                </c:pt>
                <c:pt idx="41">
                  <c:v>0.46718466342889597</c:v>
                </c:pt>
                <c:pt idx="42">
                  <c:v>0.42773984632091899</c:v>
                </c:pt>
              </c:numCache>
            </c:numRef>
          </c:xVal>
          <c:yVal>
            <c:numRef>
              <c:f>Sheet2!$CY$9:$CY$51</c:f>
              <c:numCache>
                <c:formatCode>0.00000</c:formatCode>
                <c:ptCount val="43"/>
                <c:pt idx="0">
                  <c:v>1.0526315789473599</c:v>
                </c:pt>
                <c:pt idx="1">
                  <c:v>1.1030042918454901</c:v>
                </c:pt>
                <c:pt idx="2">
                  <c:v>1.1346153846153799</c:v>
                </c:pt>
                <c:pt idx="3">
                  <c:v>1.15873015873015</c:v>
                </c:pt>
                <c:pt idx="4">
                  <c:v>1.2576219512195099</c:v>
                </c:pt>
                <c:pt idx="5">
                  <c:v>1.26086956521739</c:v>
                </c:pt>
                <c:pt idx="6">
                  <c:v>1.4004376367614799</c:v>
                </c:pt>
                <c:pt idx="7">
                  <c:v>1.4136690647482</c:v>
                </c:pt>
                <c:pt idx="8">
                  <c:v>1.45867768595041</c:v>
                </c:pt>
                <c:pt idx="9">
                  <c:v>1.47674418604651</c:v>
                </c:pt>
                <c:pt idx="10">
                  <c:v>1.50467289719626</c:v>
                </c:pt>
                <c:pt idx="11">
                  <c:v>1.5333333333333301</c:v>
                </c:pt>
                <c:pt idx="12">
                  <c:v>1.54896142433234</c:v>
                </c:pt>
                <c:pt idx="13">
                  <c:v>1.5897435897435801</c:v>
                </c:pt>
                <c:pt idx="14">
                  <c:v>1.5906148867313901</c:v>
                </c:pt>
                <c:pt idx="15">
                  <c:v>1.64</c:v>
                </c:pt>
                <c:pt idx="16">
                  <c:v>1.66115702479338</c:v>
                </c:pt>
                <c:pt idx="17">
                  <c:v>1.6688311688311599</c:v>
                </c:pt>
                <c:pt idx="18">
                  <c:v>1.68333333333333</c:v>
                </c:pt>
                <c:pt idx="19">
                  <c:v>1.73684210526315</c:v>
                </c:pt>
                <c:pt idx="20">
                  <c:v>1.75</c:v>
                </c:pt>
                <c:pt idx="21">
                  <c:v>1.8548387096774099</c:v>
                </c:pt>
                <c:pt idx="22">
                  <c:v>1.8771186440677901</c:v>
                </c:pt>
                <c:pt idx="23">
                  <c:v>1.9125000000000001</c:v>
                </c:pt>
                <c:pt idx="24">
                  <c:v>2.0215053763440798</c:v>
                </c:pt>
                <c:pt idx="25">
                  <c:v>2.04608294930875</c:v>
                </c:pt>
                <c:pt idx="26">
                  <c:v>2.04946996466431</c:v>
                </c:pt>
                <c:pt idx="27">
                  <c:v>2.18528610354223</c:v>
                </c:pt>
                <c:pt idx="28">
                  <c:v>2.49553571428571</c:v>
                </c:pt>
                <c:pt idx="29">
                  <c:v>2.5454545454545401</c:v>
                </c:pt>
                <c:pt idx="30">
                  <c:v>2.6754716981132001</c:v>
                </c:pt>
                <c:pt idx="31">
                  <c:v>2.72727272727272</c:v>
                </c:pt>
                <c:pt idx="32">
                  <c:v>3.2047619047619</c:v>
                </c:pt>
                <c:pt idx="33">
                  <c:v>3.2857142857142798</c:v>
                </c:pt>
                <c:pt idx="34">
                  <c:v>3.4081632653061198</c:v>
                </c:pt>
                <c:pt idx="35">
                  <c:v>3.4473684210526301</c:v>
                </c:pt>
                <c:pt idx="36">
                  <c:v>3.5393939393939302</c:v>
                </c:pt>
                <c:pt idx="37">
                  <c:v>3.5692307692307601</c:v>
                </c:pt>
                <c:pt idx="38">
                  <c:v>3.90977443609022</c:v>
                </c:pt>
                <c:pt idx="39">
                  <c:v>3.9797979797979699</c:v>
                </c:pt>
                <c:pt idx="40">
                  <c:v>4</c:v>
                </c:pt>
                <c:pt idx="41">
                  <c:v>4.4090909090909003</c:v>
                </c:pt>
                <c:pt idx="42">
                  <c:v>5.05555555555555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2-4623-B796-BCCC36F87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794895"/>
        <c:axId val="1121795375"/>
      </c:scatterChart>
      <c:valAx>
        <c:axId val="112179489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T_d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95375"/>
        <c:crosses val="autoZero"/>
        <c:crossBetween val="midCat"/>
      </c:valAx>
      <c:valAx>
        <c:axId val="1121795375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Ln(Ncpv1/L=Ncpv0)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9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Cac1/Cac0 vs. TdCac   -- 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Sheet2!$DK$3</c:f>
              <c:strCache>
                <c:ptCount val="1"/>
                <c:pt idx="0">
                  <c:v> Cac1/Cac0</c:v>
                </c:pt>
              </c:strCache>
            </c:strRef>
          </c:tx>
          <c:spPr>
            <a:ln w="19050" cap="rnd">
              <a:gradFill>
                <a:gsLst>
                  <a:gs pos="100000">
                    <a:srgbClr val="00B050"/>
                  </a:gs>
                  <a:gs pos="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diamond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157588279530253"/>
                  <c:y val="-0.289278093974400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Sheet2!$DJ$4:$DJ$20</c:f>
              <c:numCache>
                <c:formatCode>General</c:formatCode>
                <c:ptCount val="17"/>
                <c:pt idx="0">
                  <c:v>0.95985854692558203</c:v>
                </c:pt>
                <c:pt idx="1">
                  <c:v>1.0432096687204899</c:v>
                </c:pt>
                <c:pt idx="2">
                  <c:v>1.6509249299241</c:v>
                </c:pt>
                <c:pt idx="3">
                  <c:v>1.65929799403658</c:v>
                </c:pt>
                <c:pt idx="4">
                  <c:v>1.8001193459475999</c:v>
                </c:pt>
                <c:pt idx="5">
                  <c:v>2.0510716888963598</c:v>
                </c:pt>
                <c:pt idx="6">
                  <c:v>2.1458240757226399</c:v>
                </c:pt>
                <c:pt idx="7">
                  <c:v>3.5578537245839601</c:v>
                </c:pt>
                <c:pt idx="8">
                  <c:v>3.7371233016415499</c:v>
                </c:pt>
                <c:pt idx="9">
                  <c:v>3.8452244952874901</c:v>
                </c:pt>
                <c:pt idx="10">
                  <c:v>4.7148140832379299</c:v>
                </c:pt>
                <c:pt idx="11">
                  <c:v>4.7877717154122301</c:v>
                </c:pt>
                <c:pt idx="12">
                  <c:v>5.2423128931211203</c:v>
                </c:pt>
                <c:pt idx="13">
                  <c:v>5.3028537083223801</c:v>
                </c:pt>
                <c:pt idx="14">
                  <c:v>5.42227097958021</c:v>
                </c:pt>
                <c:pt idx="15">
                  <c:v>5.7114558818216903</c:v>
                </c:pt>
                <c:pt idx="16">
                  <c:v>22.756573062773501</c:v>
                </c:pt>
              </c:numCache>
            </c:numRef>
          </c:xVal>
          <c:yVal>
            <c:numRef>
              <c:f>Sheet2!$DK$4:$DK$20</c:f>
              <c:numCache>
                <c:formatCode>General</c:formatCode>
                <c:ptCount val="17"/>
                <c:pt idx="0">
                  <c:v>2.0588235294117601</c:v>
                </c:pt>
                <c:pt idx="1">
                  <c:v>1.9433962264150899</c:v>
                </c:pt>
                <c:pt idx="2">
                  <c:v>1.52173913043478</c:v>
                </c:pt>
                <c:pt idx="3">
                  <c:v>1.5185185185185099</c:v>
                </c:pt>
                <c:pt idx="4">
                  <c:v>1.46969696969696</c:v>
                </c:pt>
                <c:pt idx="5">
                  <c:v>1.4020618556701001</c:v>
                </c:pt>
                <c:pt idx="6">
                  <c:v>1.3812949640287699</c:v>
                </c:pt>
                <c:pt idx="7">
                  <c:v>1.2150943396226399</c:v>
                </c:pt>
                <c:pt idx="8">
                  <c:v>1.2037914691943099</c:v>
                </c:pt>
                <c:pt idx="9">
                  <c:v>1.19753086419753</c:v>
                </c:pt>
                <c:pt idx="10">
                  <c:v>1.15837104072398</c:v>
                </c:pt>
                <c:pt idx="11">
                  <c:v>1.1557788944723599</c:v>
                </c:pt>
                <c:pt idx="12">
                  <c:v>1.1413612565444999</c:v>
                </c:pt>
                <c:pt idx="13">
                  <c:v>1.13963963963963</c:v>
                </c:pt>
                <c:pt idx="14">
                  <c:v>1.13636363636363</c:v>
                </c:pt>
                <c:pt idx="15">
                  <c:v>1.12903225806451</c:v>
                </c:pt>
                <c:pt idx="16">
                  <c:v>1.0309278350515401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4-4223-837B-70B6CEE5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57056"/>
        <c:axId val="139758016"/>
      </c:scatterChart>
      <c:valAx>
        <c:axId val="13975705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T_d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8016"/>
        <c:crosses val="autoZero"/>
        <c:crossBetween val="midCat"/>
      </c:valAx>
      <c:valAx>
        <c:axId val="139758016"/>
        <c:scaling>
          <c:orientation val="minMax"/>
          <c:max val="4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Ln(Cac1/Cac0)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Cac1/Cac0 vs. TdCac   -- Theta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Sheet2!$DW$3</c:f>
              <c:strCache>
                <c:ptCount val="1"/>
                <c:pt idx="0">
                  <c:v> cac1/cac0</c:v>
                </c:pt>
              </c:strCache>
            </c:strRef>
          </c:tx>
          <c:spPr>
            <a:ln w="25400" cap="rnd">
              <a:gradFill>
                <a:gsLst>
                  <a:gs pos="0">
                    <a:srgbClr val="FF0000"/>
                  </a:gs>
                  <a:gs pos="100000">
                    <a:srgbClr val="00B050"/>
                  </a:gs>
                </a:gsLst>
                <a:lin ang="5400000" scaled="1"/>
              </a:gradFill>
              <a:round/>
            </a:ln>
            <a:effectLst/>
          </c:spPr>
          <c:marker>
            <c:symbol val="diamond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rgbClr val="FFC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232499139306386"/>
                  <c:y val="-0.327691081860160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Sheet2!$DV$10:$DV$26</c:f>
              <c:numCache>
                <c:formatCode>0.00000</c:formatCode>
                <c:ptCount val="17"/>
                <c:pt idx="0">
                  <c:v>55.797630484028602</c:v>
                </c:pt>
                <c:pt idx="1">
                  <c:v>41.241286430664502</c:v>
                </c:pt>
                <c:pt idx="2">
                  <c:v>35.349373586093698</c:v>
                </c:pt>
                <c:pt idx="3">
                  <c:v>16.841099171232599</c:v>
                </c:pt>
                <c:pt idx="4">
                  <c:v>11.260086185313799</c:v>
                </c:pt>
                <c:pt idx="5">
                  <c:v>4.9925448702448296</c:v>
                </c:pt>
                <c:pt idx="6">
                  <c:v>3.03667429271291</c:v>
                </c:pt>
                <c:pt idx="7">
                  <c:v>1.9900484026476399</c:v>
                </c:pt>
                <c:pt idx="8">
                  <c:v>1.88496184653024</c:v>
                </c:pt>
                <c:pt idx="9">
                  <c:v>1.77974296962276</c:v>
                </c:pt>
                <c:pt idx="10">
                  <c:v>1.7095112913514501</c:v>
                </c:pt>
                <c:pt idx="11">
                  <c:v>1.3569154488567201</c:v>
                </c:pt>
                <c:pt idx="12">
                  <c:v>1.17924958483937</c:v>
                </c:pt>
                <c:pt idx="13">
                  <c:v>1</c:v>
                </c:pt>
                <c:pt idx="14">
                  <c:v>0.55329475566511199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Sheet2!$DW$10:$DW$26</c:f>
              <c:numCache>
                <c:formatCode>0.00000</c:formatCode>
                <c:ptCount val="17"/>
                <c:pt idx="0">
                  <c:v>1.0125</c:v>
                </c:pt>
                <c:pt idx="1">
                  <c:v>1.0169491525423699</c:v>
                </c:pt>
                <c:pt idx="2">
                  <c:v>1.01980198019801</c:v>
                </c:pt>
                <c:pt idx="3">
                  <c:v>1.04201680672268</c:v>
                </c:pt>
                <c:pt idx="4">
                  <c:v>1.0634920634920599</c:v>
                </c:pt>
                <c:pt idx="5">
                  <c:v>1.1489361702127601</c:v>
                </c:pt>
                <c:pt idx="6">
                  <c:v>1.2564102564102499</c:v>
                </c:pt>
                <c:pt idx="7">
                  <c:v>1.4166666666666601</c:v>
                </c:pt>
                <c:pt idx="8">
                  <c:v>1.44444444444444</c:v>
                </c:pt>
                <c:pt idx="9">
                  <c:v>1.4761904761904701</c:v>
                </c:pt>
                <c:pt idx="10">
                  <c:v>1.5</c:v>
                </c:pt>
                <c:pt idx="11">
                  <c:v>1.6666666666666601</c:v>
                </c:pt>
                <c:pt idx="12">
                  <c:v>1.8</c:v>
                </c:pt>
                <c:pt idx="13">
                  <c:v>2</c:v>
                </c:pt>
                <c:pt idx="14">
                  <c:v>3.5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2C-44F1-A743-DBE0B263C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667760"/>
        <c:axId val="1855668240"/>
      </c:scatterChart>
      <c:valAx>
        <c:axId val="1855667760"/>
        <c:scaling>
          <c:orientation val="minMax"/>
          <c:max val="5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T_d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668240"/>
        <c:crosses val="autoZero"/>
        <c:crossBetween val="midCat"/>
      </c:valAx>
      <c:valAx>
        <c:axId val="185566824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Cac1/Cac0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66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Ncpv1/Ncpv0 vs. TdNcpv    -- Gamma</a:t>
            </a:r>
          </a:p>
        </c:rich>
      </c:tx>
      <c:layout>
        <c:manualLayout>
          <c:xMode val="edge"/>
          <c:yMode val="edge"/>
          <c:x val="0.17943392253482035"/>
          <c:y val="2.290258323105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56962447986385E-2"/>
          <c:y val="0.17195981983468542"/>
          <c:w val="0.84536985072759607"/>
          <c:h val="0.6609699413859383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Sheet2!$EI$3</c:f>
              <c:strCache>
                <c:ptCount val="1"/>
                <c:pt idx="0">
                  <c:v> Ncpv1/Ncpv0</c:v>
                </c:pt>
              </c:strCache>
            </c:strRef>
          </c:tx>
          <c:spPr>
            <a:ln w="19050" cap="rnd">
              <a:gradFill>
                <a:gsLst>
                  <a:gs pos="0">
                    <a:srgbClr val="FF0000"/>
                  </a:gs>
                  <a:gs pos="51000">
                    <a:srgbClr val="00B050"/>
                  </a:gs>
                </a:gsLst>
                <a:lin ang="5400000" scaled="1"/>
              </a:gradFill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2"/>
            <c:marker>
              <c:symbol val="triangle"/>
              <c:size val="5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772-420C-BE82-AB6629794928}"/>
              </c:ext>
            </c:extLst>
          </c:dPt>
          <c:dPt>
            <c:idx val="46"/>
            <c:marker>
              <c:symbol val="triangle"/>
              <c:size val="5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gradFill>
                  <a:gsLst>
                    <a:gs pos="0">
                      <a:srgbClr val="FF0000"/>
                    </a:gs>
                    <a:gs pos="51000">
                      <a:srgbClr val="00B05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64-4694-9E5D-6F5C713D4812}"/>
              </c:ext>
            </c:extLst>
          </c:dPt>
          <c:xVal>
            <c:numRef>
              <c:f>Sheet2!$EH$5:$EH$51</c:f>
              <c:numCache>
                <c:formatCode>0.00000</c:formatCode>
                <c:ptCount val="47"/>
                <c:pt idx="0">
                  <c:v>0</c:v>
                </c:pt>
                <c:pt idx="1">
                  <c:v>0.42773984632091899</c:v>
                </c:pt>
                <c:pt idx="2">
                  <c:v>0.46718466342889597</c:v>
                </c:pt>
                <c:pt idx="3">
                  <c:v>0.5</c:v>
                </c:pt>
                <c:pt idx="4">
                  <c:v>0.50183289462069203</c:v>
                </c:pt>
                <c:pt idx="5">
                  <c:v>0.50836634313100004</c:v>
                </c:pt>
                <c:pt idx="6">
                  <c:v>0.54477708579998796</c:v>
                </c:pt>
                <c:pt idx="7">
                  <c:v>0.54839523675007995</c:v>
                </c:pt>
                <c:pt idx="8">
                  <c:v>0.56006862334195295</c:v>
                </c:pt>
                <c:pt idx="9">
                  <c:v>0.56529289898435398</c:v>
                </c:pt>
                <c:pt idx="10">
                  <c:v>0.58268028285003703</c:v>
                </c:pt>
                <c:pt idx="11">
                  <c:v>0.59516115757053301</c:v>
                </c:pt>
                <c:pt idx="12">
                  <c:v>0.69086586625928403</c:v>
                </c:pt>
                <c:pt idx="13">
                  <c:v>0.70432789243838301</c:v>
                </c:pt>
                <c:pt idx="14">
                  <c:v>0.74188197315272697</c:v>
                </c:pt>
                <c:pt idx="15">
                  <c:v>0.75794924810075204</c:v>
                </c:pt>
                <c:pt idx="16">
                  <c:v>0.88666460315957996</c:v>
                </c:pt>
                <c:pt idx="17">
                  <c:v>0.96594946309006002</c:v>
                </c:pt>
                <c:pt idx="18">
                  <c:v>0.96818108314798801</c:v>
                </c:pt>
                <c:pt idx="19">
                  <c:v>0.98480442772704402</c:v>
                </c:pt>
                <c:pt idx="20">
                  <c:v>1.0689930831830301</c:v>
                </c:pt>
                <c:pt idx="21">
                  <c:v>1.10069142891592</c:v>
                </c:pt>
                <c:pt idx="22">
                  <c:v>1.1219645718307201</c:v>
                </c:pt>
                <c:pt idx="23">
                  <c:v>1.2386126258466601</c:v>
                </c:pt>
                <c:pt idx="24">
                  <c:v>1.2555454209550201</c:v>
                </c:pt>
                <c:pt idx="25">
                  <c:v>1.33098921793891</c:v>
                </c:pt>
                <c:pt idx="26">
                  <c:v>1.3534766599671799</c:v>
                </c:pt>
                <c:pt idx="27">
                  <c:v>1.36576860051204</c:v>
                </c:pt>
                <c:pt idx="28">
                  <c:v>1.4011571585570699</c:v>
                </c:pt>
                <c:pt idx="29">
                  <c:v>1.4934633087510301</c:v>
                </c:pt>
                <c:pt idx="30">
                  <c:v>1.4952285205156799</c:v>
                </c:pt>
                <c:pt idx="31">
                  <c:v>1.5840298982876999</c:v>
                </c:pt>
                <c:pt idx="32">
                  <c:v>1.6216092786808101</c:v>
                </c:pt>
                <c:pt idx="33">
                  <c:v>1.6964970459034301</c:v>
                </c:pt>
                <c:pt idx="34">
                  <c:v>1.7780308680017001</c:v>
                </c:pt>
                <c:pt idx="35">
                  <c:v>1.8360039553221701</c:v>
                </c:pt>
                <c:pt idx="36">
                  <c:v>2.0022247538746898</c:v>
                </c:pt>
                <c:pt idx="37">
                  <c:v>2.05813092065369</c:v>
                </c:pt>
                <c:pt idx="38">
                  <c:v>2.9902603714766598</c:v>
                </c:pt>
                <c:pt idx="39">
                  <c:v>3.0239042243240601</c:v>
                </c:pt>
                <c:pt idx="40">
                  <c:v>4.7048940953586698</c:v>
                </c:pt>
                <c:pt idx="41">
                  <c:v>5.4883738584803696</c:v>
                </c:pt>
                <c:pt idx="42">
                  <c:v>7.0702154994970599</c:v>
                </c:pt>
                <c:pt idx="43">
                  <c:v>13.513407333964899</c:v>
                </c:pt>
              </c:numCache>
            </c:numRef>
          </c:xVal>
          <c:yVal>
            <c:numRef>
              <c:f>Sheet2!$EI$5:$EI$51</c:f>
              <c:numCache>
                <c:formatCode>0.00000</c:formatCode>
                <c:ptCount val="47"/>
                <c:pt idx="0">
                  <c:v>1</c:v>
                </c:pt>
                <c:pt idx="1">
                  <c:v>5.05555555555555</c:v>
                </c:pt>
                <c:pt idx="2">
                  <c:v>4.4090909090909003</c:v>
                </c:pt>
                <c:pt idx="3">
                  <c:v>4</c:v>
                </c:pt>
                <c:pt idx="4">
                  <c:v>3.9797979797979699</c:v>
                </c:pt>
                <c:pt idx="5">
                  <c:v>3.90977443609022</c:v>
                </c:pt>
                <c:pt idx="6">
                  <c:v>3.5692307692307601</c:v>
                </c:pt>
                <c:pt idx="7">
                  <c:v>3.5393939393939302</c:v>
                </c:pt>
                <c:pt idx="8">
                  <c:v>3.4473684210526301</c:v>
                </c:pt>
                <c:pt idx="9">
                  <c:v>3.4081632653061198</c:v>
                </c:pt>
                <c:pt idx="10">
                  <c:v>3.2857142857142798</c:v>
                </c:pt>
                <c:pt idx="11">
                  <c:v>3.2047619047619</c:v>
                </c:pt>
                <c:pt idx="12">
                  <c:v>2.72727272727272</c:v>
                </c:pt>
                <c:pt idx="13">
                  <c:v>2.6754716981132001</c:v>
                </c:pt>
                <c:pt idx="14">
                  <c:v>2.5454545454545401</c:v>
                </c:pt>
                <c:pt idx="15">
                  <c:v>2.49553571428571</c:v>
                </c:pt>
                <c:pt idx="16">
                  <c:v>2.18528610354223</c:v>
                </c:pt>
                <c:pt idx="17">
                  <c:v>2.04946996466431</c:v>
                </c:pt>
                <c:pt idx="18">
                  <c:v>2.04608294930875</c:v>
                </c:pt>
                <c:pt idx="19">
                  <c:v>2.0215053763440798</c:v>
                </c:pt>
                <c:pt idx="20">
                  <c:v>1.9125000000000001</c:v>
                </c:pt>
                <c:pt idx="21">
                  <c:v>1.8771186440677901</c:v>
                </c:pt>
                <c:pt idx="22">
                  <c:v>1.8548387096774099</c:v>
                </c:pt>
                <c:pt idx="23">
                  <c:v>1.75</c:v>
                </c:pt>
                <c:pt idx="24">
                  <c:v>1.73684210526315</c:v>
                </c:pt>
                <c:pt idx="25">
                  <c:v>1.68333333333333</c:v>
                </c:pt>
                <c:pt idx="26">
                  <c:v>1.6688311688311599</c:v>
                </c:pt>
                <c:pt idx="27">
                  <c:v>1.66115702479338</c:v>
                </c:pt>
                <c:pt idx="28">
                  <c:v>1.64</c:v>
                </c:pt>
                <c:pt idx="29">
                  <c:v>1.5906148867313901</c:v>
                </c:pt>
                <c:pt idx="30">
                  <c:v>1.5897435897435801</c:v>
                </c:pt>
                <c:pt idx="31">
                  <c:v>1.54896142433234</c:v>
                </c:pt>
                <c:pt idx="32">
                  <c:v>1.5333333333333301</c:v>
                </c:pt>
                <c:pt idx="33">
                  <c:v>1.50467289719626</c:v>
                </c:pt>
                <c:pt idx="34">
                  <c:v>1.47674418604651</c:v>
                </c:pt>
                <c:pt idx="35">
                  <c:v>1.45867768595041</c:v>
                </c:pt>
                <c:pt idx="36">
                  <c:v>1.4136690647482</c:v>
                </c:pt>
                <c:pt idx="37">
                  <c:v>1.4004376367614799</c:v>
                </c:pt>
                <c:pt idx="38">
                  <c:v>1.26086956521739</c:v>
                </c:pt>
                <c:pt idx="39">
                  <c:v>1.2576219512195099</c:v>
                </c:pt>
                <c:pt idx="40">
                  <c:v>1.15873015873015</c:v>
                </c:pt>
                <c:pt idx="41">
                  <c:v>1.1346153846153799</c:v>
                </c:pt>
                <c:pt idx="42">
                  <c:v>1.1030042918454901</c:v>
                </c:pt>
                <c:pt idx="43">
                  <c:v>1.0526315789473599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2-420C-BE82-AB6629794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491824"/>
        <c:axId val="1231490384"/>
      </c:scatterChart>
      <c:valAx>
        <c:axId val="1231491824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T_d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490384"/>
        <c:crosses val="autoZero"/>
        <c:crossBetween val="midCat"/>
      </c:valAx>
      <c:valAx>
        <c:axId val="123149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Ncpv1/Ncpv0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49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Ncpv1/Ncpv0 vs. TdNcpv   -- Gamma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Sheet2!$EU$3</c:f>
              <c:strCache>
                <c:ptCount val="1"/>
                <c:pt idx="0">
                  <c:v> Ncpv1/Ncpv0</c:v>
                </c:pt>
              </c:strCache>
            </c:strRef>
          </c:tx>
          <c:spPr>
            <a:ln w="25400" cap="rnd">
              <a:gradFill>
                <a:gsLst>
                  <a:gs pos="0">
                    <a:srgbClr val="FF0000"/>
                  </a:gs>
                  <a:gs pos="100000">
                    <a:srgbClr val="00B050"/>
                  </a:gs>
                </a:gsLst>
                <a:lin ang="5400000" scaled="1"/>
              </a:gra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Sheet2!$ET$6:$ET$48</c:f>
              <c:numCache>
                <c:formatCode>0.0000</c:formatCode>
                <c:ptCount val="43"/>
                <c:pt idx="0">
                  <c:v>0.42773984632091899</c:v>
                </c:pt>
                <c:pt idx="1">
                  <c:v>0.46718466342889597</c:v>
                </c:pt>
                <c:pt idx="2">
                  <c:v>0.5</c:v>
                </c:pt>
                <c:pt idx="3">
                  <c:v>0.50183289462069203</c:v>
                </c:pt>
                <c:pt idx="4">
                  <c:v>0.50836634313100004</c:v>
                </c:pt>
                <c:pt idx="5">
                  <c:v>0.54477708579998796</c:v>
                </c:pt>
                <c:pt idx="6">
                  <c:v>0.54839523675007995</c:v>
                </c:pt>
                <c:pt idx="7">
                  <c:v>0.56006862334195295</c:v>
                </c:pt>
                <c:pt idx="8">
                  <c:v>0.56529289898435398</c:v>
                </c:pt>
                <c:pt idx="9">
                  <c:v>0.58268028285003703</c:v>
                </c:pt>
                <c:pt idx="10">
                  <c:v>0.59516115757053301</c:v>
                </c:pt>
                <c:pt idx="11">
                  <c:v>0.69086586625928403</c:v>
                </c:pt>
                <c:pt idx="12">
                  <c:v>0.70432789243838301</c:v>
                </c:pt>
                <c:pt idx="13">
                  <c:v>0.74188197315272697</c:v>
                </c:pt>
                <c:pt idx="14">
                  <c:v>0.75794924810075204</c:v>
                </c:pt>
                <c:pt idx="15">
                  <c:v>0.88666460315957996</c:v>
                </c:pt>
                <c:pt idx="16">
                  <c:v>0.96594946309006002</c:v>
                </c:pt>
                <c:pt idx="17">
                  <c:v>0.96818108314798801</c:v>
                </c:pt>
                <c:pt idx="18">
                  <c:v>0.98480442772704402</c:v>
                </c:pt>
                <c:pt idx="19">
                  <c:v>1.0689930831830301</c:v>
                </c:pt>
                <c:pt idx="20">
                  <c:v>1.10069142891592</c:v>
                </c:pt>
                <c:pt idx="21">
                  <c:v>1.1219645718307201</c:v>
                </c:pt>
                <c:pt idx="22">
                  <c:v>1.2386126258466601</c:v>
                </c:pt>
                <c:pt idx="23">
                  <c:v>1.2555454209550201</c:v>
                </c:pt>
                <c:pt idx="24">
                  <c:v>1.33098921793891</c:v>
                </c:pt>
                <c:pt idx="25">
                  <c:v>1.3534766599671799</c:v>
                </c:pt>
                <c:pt idx="26">
                  <c:v>1.36576860051204</c:v>
                </c:pt>
                <c:pt idx="27">
                  <c:v>1.4011571585570699</c:v>
                </c:pt>
                <c:pt idx="28">
                  <c:v>1.4934633087510301</c:v>
                </c:pt>
                <c:pt idx="29">
                  <c:v>1.4952285205156799</c:v>
                </c:pt>
                <c:pt idx="30">
                  <c:v>1.5840298982876999</c:v>
                </c:pt>
                <c:pt idx="31">
                  <c:v>1.6216092786808101</c:v>
                </c:pt>
                <c:pt idx="32">
                  <c:v>1.6964970459034301</c:v>
                </c:pt>
                <c:pt idx="33">
                  <c:v>1.7780308680017001</c:v>
                </c:pt>
                <c:pt idx="34">
                  <c:v>1.8360039553221701</c:v>
                </c:pt>
                <c:pt idx="35">
                  <c:v>2.0022247538746898</c:v>
                </c:pt>
                <c:pt idx="36">
                  <c:v>2.05813092065369</c:v>
                </c:pt>
                <c:pt idx="37">
                  <c:v>2.9902603714766598</c:v>
                </c:pt>
                <c:pt idx="38">
                  <c:v>3.0239042243240601</c:v>
                </c:pt>
                <c:pt idx="39">
                  <c:v>4.7048940953586698</c:v>
                </c:pt>
                <c:pt idx="40">
                  <c:v>5.4883738584803696</c:v>
                </c:pt>
                <c:pt idx="41">
                  <c:v>7.0702154994970599</c:v>
                </c:pt>
                <c:pt idx="42">
                  <c:v>13.513407333964899</c:v>
                </c:pt>
              </c:numCache>
            </c:numRef>
          </c:xVal>
          <c:yVal>
            <c:numRef>
              <c:f>Sheet2!$EU$6:$EU$48</c:f>
              <c:numCache>
                <c:formatCode>0.0000</c:formatCode>
                <c:ptCount val="43"/>
                <c:pt idx="0">
                  <c:v>5.05555555555555</c:v>
                </c:pt>
                <c:pt idx="1">
                  <c:v>4.4090909090909003</c:v>
                </c:pt>
                <c:pt idx="2">
                  <c:v>4</c:v>
                </c:pt>
                <c:pt idx="3">
                  <c:v>3.9797979797979699</c:v>
                </c:pt>
                <c:pt idx="4">
                  <c:v>3.90977443609022</c:v>
                </c:pt>
                <c:pt idx="5">
                  <c:v>3.5692307692307601</c:v>
                </c:pt>
                <c:pt idx="6">
                  <c:v>3.5393939393939302</c:v>
                </c:pt>
                <c:pt idx="7">
                  <c:v>3.4473684210526301</c:v>
                </c:pt>
                <c:pt idx="8">
                  <c:v>3.4081632653061198</c:v>
                </c:pt>
                <c:pt idx="9">
                  <c:v>3.2857142857142798</c:v>
                </c:pt>
                <c:pt idx="10">
                  <c:v>3.2047619047619</c:v>
                </c:pt>
                <c:pt idx="11">
                  <c:v>2.72727272727272</c:v>
                </c:pt>
                <c:pt idx="12">
                  <c:v>2.6754716981132001</c:v>
                </c:pt>
                <c:pt idx="13">
                  <c:v>2.5454545454545401</c:v>
                </c:pt>
                <c:pt idx="14">
                  <c:v>2.49553571428571</c:v>
                </c:pt>
                <c:pt idx="15">
                  <c:v>2.18528610354223</c:v>
                </c:pt>
                <c:pt idx="16">
                  <c:v>2.04946996466431</c:v>
                </c:pt>
                <c:pt idx="17">
                  <c:v>2.04608294930875</c:v>
                </c:pt>
                <c:pt idx="18">
                  <c:v>2.0215053763440798</c:v>
                </c:pt>
                <c:pt idx="19">
                  <c:v>1.9125000000000001</c:v>
                </c:pt>
                <c:pt idx="20">
                  <c:v>1.8771186440677901</c:v>
                </c:pt>
                <c:pt idx="21">
                  <c:v>1.8548387096774099</c:v>
                </c:pt>
                <c:pt idx="22">
                  <c:v>1.75</c:v>
                </c:pt>
                <c:pt idx="23">
                  <c:v>1.73684210526315</c:v>
                </c:pt>
                <c:pt idx="24">
                  <c:v>1.68333333333333</c:v>
                </c:pt>
                <c:pt idx="25">
                  <c:v>1.6688311688311599</c:v>
                </c:pt>
                <c:pt idx="26">
                  <c:v>1.66115702479338</c:v>
                </c:pt>
                <c:pt idx="27">
                  <c:v>1.64</c:v>
                </c:pt>
                <c:pt idx="28">
                  <c:v>1.5906148867313901</c:v>
                </c:pt>
                <c:pt idx="29">
                  <c:v>1.5897435897435801</c:v>
                </c:pt>
                <c:pt idx="30">
                  <c:v>1.54896142433234</c:v>
                </c:pt>
                <c:pt idx="31">
                  <c:v>1.5333333333333301</c:v>
                </c:pt>
                <c:pt idx="32">
                  <c:v>1.50467289719626</c:v>
                </c:pt>
                <c:pt idx="33">
                  <c:v>1.47674418604651</c:v>
                </c:pt>
                <c:pt idx="34">
                  <c:v>1.45867768595041</c:v>
                </c:pt>
                <c:pt idx="35">
                  <c:v>1.4136690647482</c:v>
                </c:pt>
                <c:pt idx="36">
                  <c:v>1.4004376367614799</c:v>
                </c:pt>
                <c:pt idx="37">
                  <c:v>1.26086956521739</c:v>
                </c:pt>
                <c:pt idx="38">
                  <c:v>1.2576219512195099</c:v>
                </c:pt>
                <c:pt idx="39">
                  <c:v>1.15873015873015</c:v>
                </c:pt>
                <c:pt idx="40">
                  <c:v>1.1346153846153799</c:v>
                </c:pt>
                <c:pt idx="41">
                  <c:v>1.1030042918454901</c:v>
                </c:pt>
                <c:pt idx="42">
                  <c:v>1.0526315789473599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4-4285-A69B-765B861A4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291056"/>
        <c:axId val="492299696"/>
      </c:scatterChart>
      <c:valAx>
        <c:axId val="492291056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T_d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99696"/>
        <c:crosses val="autoZero"/>
        <c:crossBetween val="midCat"/>
      </c:valAx>
      <c:valAx>
        <c:axId val="492299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Ncpv1 / Ncpv0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555555555555555E-2"/>
              <c:y val="0.38823342342601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9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Ncpv1/Ncpv0 vs. TdNcpv   -- Zeta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Sheet2!$FG$3</c:f>
              <c:strCache>
                <c:ptCount val="1"/>
                <c:pt idx="0">
                  <c:v> Ncpv1/Ncpv0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Sheet2!$FF$4:$FF$15</c:f>
              <c:numCache>
                <c:formatCode>0.00000</c:formatCode>
                <c:ptCount val="12"/>
                <c:pt idx="0">
                  <c:v>-6.7638190992332996</c:v>
                </c:pt>
                <c:pt idx="1">
                  <c:v>0.90947481200908398</c:v>
                </c:pt>
                <c:pt idx="2">
                  <c:v>1</c:v>
                </c:pt>
                <c:pt idx="3">
                  <c:v>1.9530068344379501</c:v>
                </c:pt>
                <c:pt idx="4">
                  <c:v>2.0565490951229899</c:v>
                </c:pt>
                <c:pt idx="5">
                  <c:v>2.5387141651918199</c:v>
                </c:pt>
                <c:pt idx="6">
                  <c:v>2.9692156844279798</c:v>
                </c:pt>
                <c:pt idx="7">
                  <c:v>3.1840236711562202</c:v>
                </c:pt>
                <c:pt idx="8">
                  <c:v>3.75465903074095</c:v>
                </c:pt>
                <c:pt idx="9">
                  <c:v>7.4303579280153196</c:v>
                </c:pt>
                <c:pt idx="10">
                  <c:v>12.8393587195095</c:v>
                </c:pt>
                <c:pt idx="11">
                  <c:v>15.116624378043699</c:v>
                </c:pt>
              </c:numCache>
            </c:numRef>
          </c:xVal>
          <c:yVal>
            <c:numRef>
              <c:f>Sheet2!$FG$4:$FG$15</c:f>
              <c:numCache>
                <c:formatCode>0.00000</c:formatCode>
                <c:ptCount val="12"/>
                <c:pt idx="0">
                  <c:v>0.90259740259740195</c:v>
                </c:pt>
                <c:pt idx="1">
                  <c:v>2.1428571428571401</c:v>
                </c:pt>
                <c:pt idx="2">
                  <c:v>2</c:v>
                </c:pt>
                <c:pt idx="3">
                  <c:v>1.4260563380281599</c:v>
                </c:pt>
                <c:pt idx="4">
                  <c:v>1.4008004574042301</c:v>
                </c:pt>
                <c:pt idx="5">
                  <c:v>1.3139407244785899</c:v>
                </c:pt>
                <c:pt idx="6">
                  <c:v>1.26294277929155</c:v>
                </c:pt>
                <c:pt idx="7">
                  <c:v>1.2432082794307799</c:v>
                </c:pt>
                <c:pt idx="8">
                  <c:v>1.2027491408934701</c:v>
                </c:pt>
                <c:pt idx="9">
                  <c:v>1.0977754785307801</c:v>
                </c:pt>
                <c:pt idx="10">
                  <c:v>1.0554699537750301</c:v>
                </c:pt>
                <c:pt idx="11">
                  <c:v>1.0469208211143599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98-4F04-A94C-8FF75321E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284816"/>
        <c:axId val="492285296"/>
      </c:scatterChart>
      <c:valAx>
        <c:axId val="4922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85296"/>
        <c:crosses val="autoZero"/>
        <c:crossBetween val="midCat"/>
      </c:valAx>
      <c:valAx>
        <c:axId val="4922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8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Cac1/Cac0 vs. TdCac   -- Zeta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Sheet2!$FP$3</c:f>
              <c:strCache>
                <c:ptCount val="1"/>
                <c:pt idx="0">
                  <c:v> Cac1/Cac0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Sheet2!$FO$4:$FO$15</c:f>
              <c:numCache>
                <c:formatCode>General</c:formatCode>
                <c:ptCount val="12"/>
                <c:pt idx="0">
                  <c:v>-35.299861484584099</c:v>
                </c:pt>
                <c:pt idx="1">
                  <c:v>-7.5037595225205598</c:v>
                </c:pt>
                <c:pt idx="2">
                  <c:v>-1.74648457374294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3.6975154679172699</c:v>
                </c:pt>
                <c:pt idx="11">
                  <c:v>7.0798502464049404</c:v>
                </c:pt>
              </c:numCache>
            </c:numRef>
          </c:xVal>
          <c:yVal>
            <c:numRef>
              <c:f>Sheet2!$FP$4:$FP$15</c:f>
              <c:numCache>
                <c:formatCode>General</c:formatCode>
                <c:ptCount val="12"/>
                <c:pt idx="0">
                  <c:v>0.98055555555555496</c:v>
                </c:pt>
                <c:pt idx="1">
                  <c:v>0.91176470588235203</c:v>
                </c:pt>
                <c:pt idx="2">
                  <c:v>0.67241379310344795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1.2061855670103001</c:v>
                </c:pt>
                <c:pt idx="11">
                  <c:v>1.1028571428571401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A9-4D23-9ECB-D1908F4C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28128"/>
        <c:axId val="500329088"/>
      </c:scatterChart>
      <c:valAx>
        <c:axId val="50032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29088"/>
        <c:crosses val="autoZero"/>
        <c:crossBetween val="midCat"/>
      </c:valAx>
      <c:valAx>
        <c:axId val="5003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2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Cac0/Cac1 vs. TdCac   -- Zeta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Sheet2!$FZ$4:$FZ$15</c:f>
              <c:numCache>
                <c:formatCode>General</c:formatCode>
                <c:ptCount val="12"/>
                <c:pt idx="0">
                  <c:v>-35.299861484584099</c:v>
                </c:pt>
                <c:pt idx="1">
                  <c:v>-7.5037595225205598</c:v>
                </c:pt>
                <c:pt idx="2">
                  <c:v>-1.74648457374294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3.6975154679172699</c:v>
                </c:pt>
                <c:pt idx="11">
                  <c:v>7.0798502464049404</c:v>
                </c:pt>
              </c:numCache>
            </c:numRef>
          </c:xVal>
          <c:yVal>
            <c:numRef>
              <c:f>Sheet2!$GA$4:$GA$15</c:f>
              <c:numCache>
                <c:formatCode>General</c:formatCode>
                <c:ptCount val="12"/>
                <c:pt idx="0">
                  <c:v>1.0198300283286099</c:v>
                </c:pt>
                <c:pt idx="1">
                  <c:v>1.0967741935483799</c:v>
                </c:pt>
                <c:pt idx="2">
                  <c:v>1.4871794871794799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0.829059829059829</c:v>
                </c:pt>
                <c:pt idx="11">
                  <c:v>0.90673575129533601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29-469A-BD45-EAAC3A626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30176"/>
        <c:axId val="579981840"/>
      </c:scatterChart>
      <c:valAx>
        <c:axId val="14163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981840"/>
        <c:crosses val="autoZero"/>
        <c:crossBetween val="midCat"/>
      </c:valAx>
      <c:valAx>
        <c:axId val="5799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Ln(Cac1/Cac0) vs. LnGeoMeanCac  -- Eta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GeoMean!$C$3</c:f>
              <c:strCache>
                <c:ptCount val="1"/>
                <c:pt idx="0">
                  <c:v> Ln(Cac1/Cac0)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GeoMean!$B$4:$B$55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1.7747793674028101</c:v>
                </c:pt>
                <c:pt idx="11">
                  <c:v>3.6375861597263799</c:v>
                </c:pt>
                <c:pt idx="12">
                  <c:v>2.4695098776853399</c:v>
                </c:pt>
                <c:pt idx="13">
                  <c:v>3.5343173006204802</c:v>
                </c:pt>
                <c:pt idx="14">
                  <c:v>4.1886046806471899</c:v>
                </c:pt>
                <c:pt idx="15">
                  <c:v>4.1891883224079303</c:v>
                </c:pt>
                <c:pt idx="16">
                  <c:v>0</c:v>
                </c:pt>
                <c:pt idx="17">
                  <c:v>3.8828101920545</c:v>
                </c:pt>
                <c:pt idx="18">
                  <c:v>1.89564703805597</c:v>
                </c:pt>
                <c:pt idx="19">
                  <c:v>0</c:v>
                </c:pt>
                <c:pt idx="20">
                  <c:v>3.0910424533583098</c:v>
                </c:pt>
                <c:pt idx="21">
                  <c:v>2.6683669929878602</c:v>
                </c:pt>
                <c:pt idx="22">
                  <c:v>1.58370634629087</c:v>
                </c:pt>
                <c:pt idx="23">
                  <c:v>2.7267317333489598</c:v>
                </c:pt>
                <c:pt idx="24">
                  <c:v>3.8003087024533202</c:v>
                </c:pt>
                <c:pt idx="25">
                  <c:v>1.5563867342472399</c:v>
                </c:pt>
                <c:pt idx="26">
                  <c:v>3.2776993581911098</c:v>
                </c:pt>
                <c:pt idx="27">
                  <c:v>4.4557134063589396</c:v>
                </c:pt>
                <c:pt idx="28">
                  <c:v>5.8790873012877203</c:v>
                </c:pt>
                <c:pt idx="29">
                  <c:v>4.4957985277338004</c:v>
                </c:pt>
                <c:pt idx="30">
                  <c:v>4.3159542156931296</c:v>
                </c:pt>
                <c:pt idx="31">
                  <c:v>4.3946034517012498</c:v>
                </c:pt>
                <c:pt idx="32">
                  <c:v>4.4005839671817801</c:v>
                </c:pt>
                <c:pt idx="33">
                  <c:v>5.3232729418494502</c:v>
                </c:pt>
                <c:pt idx="34">
                  <c:v>5.4449053811822603</c:v>
                </c:pt>
                <c:pt idx="35">
                  <c:v>3.2344586529021502</c:v>
                </c:pt>
                <c:pt idx="36">
                  <c:v>5.4722440800471199</c:v>
                </c:pt>
                <c:pt idx="37">
                  <c:v>5.4489064815265298</c:v>
                </c:pt>
                <c:pt idx="38">
                  <c:v>4.6346813941011202</c:v>
                </c:pt>
                <c:pt idx="39">
                  <c:v>4.5518571184573302</c:v>
                </c:pt>
                <c:pt idx="40">
                  <c:v>4.9126548857360497</c:v>
                </c:pt>
                <c:pt idx="41">
                  <c:v>5.9787700925704304</c:v>
                </c:pt>
                <c:pt idx="42">
                  <c:v>4.80790102518006</c:v>
                </c:pt>
                <c:pt idx="43">
                  <c:v>5.6987347416367999</c:v>
                </c:pt>
                <c:pt idx="44">
                  <c:v>5.3703554008055896</c:v>
                </c:pt>
                <c:pt idx="45">
                  <c:v>5.7701788198512096</c:v>
                </c:pt>
                <c:pt idx="46">
                  <c:v>5.2191646266663101</c:v>
                </c:pt>
                <c:pt idx="47">
                  <c:v>6.4838081630380904</c:v>
                </c:pt>
                <c:pt idx="48">
                  <c:v>3.93922109855703</c:v>
                </c:pt>
                <c:pt idx="49">
                  <c:v>5.6805581723471299</c:v>
                </c:pt>
                <c:pt idx="50">
                  <c:v>5.44117392541866</c:v>
                </c:pt>
                <c:pt idx="51">
                  <c:v>5.4758654649838503</c:v>
                </c:pt>
              </c:numCache>
            </c:numRef>
          </c:xVal>
          <c:yVal>
            <c:numRef>
              <c:f>GeoMean!$C$4:$C$55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0.916290731874155</c:v>
                </c:pt>
                <c:pt idx="11">
                  <c:v>0.69314718055994495</c:v>
                </c:pt>
                <c:pt idx="12">
                  <c:v>0.89381787602209595</c:v>
                </c:pt>
                <c:pt idx="13">
                  <c:v>0.92367083917177695</c:v>
                </c:pt>
                <c:pt idx="14">
                  <c:v>0.64802674527947501</c:v>
                </c:pt>
                <c:pt idx="15">
                  <c:v>0.72439972406404896</c:v>
                </c:pt>
                <c:pt idx="16">
                  <c:v>0</c:v>
                </c:pt>
                <c:pt idx="17">
                  <c:v>0.51426796795696295</c:v>
                </c:pt>
                <c:pt idx="18">
                  <c:v>1.0986122886681</c:v>
                </c:pt>
                <c:pt idx="19">
                  <c:v>0</c:v>
                </c:pt>
                <c:pt idx="20">
                  <c:v>0.69314718055994495</c:v>
                </c:pt>
                <c:pt idx="21">
                  <c:v>1.0296194171811499</c:v>
                </c:pt>
                <c:pt idx="22">
                  <c:v>0.98082925301172597</c:v>
                </c:pt>
                <c:pt idx="23">
                  <c:v>0.88238918019847301</c:v>
                </c:pt>
                <c:pt idx="24">
                  <c:v>0.81377516834856001</c:v>
                </c:pt>
                <c:pt idx="25">
                  <c:v>1.5040773967762699</c:v>
                </c:pt>
                <c:pt idx="26">
                  <c:v>0.90672128085800396</c:v>
                </c:pt>
                <c:pt idx="27">
                  <c:v>0.92494879461726898</c:v>
                </c:pt>
                <c:pt idx="28">
                  <c:v>0.68337738896414002</c:v>
                </c:pt>
                <c:pt idx="29">
                  <c:v>0.78733439561964602</c:v>
                </c:pt>
                <c:pt idx="30">
                  <c:v>1.07956409369741</c:v>
                </c:pt>
                <c:pt idx="31">
                  <c:v>0.90409545878033604</c:v>
                </c:pt>
                <c:pt idx="32">
                  <c:v>0.69937773031058104</c:v>
                </c:pt>
                <c:pt idx="33">
                  <c:v>0.76144172799617105</c:v>
                </c:pt>
                <c:pt idx="34">
                  <c:v>0.75566753754127902</c:v>
                </c:pt>
                <c:pt idx="35">
                  <c:v>1.11803037452521</c:v>
                </c:pt>
                <c:pt idx="36">
                  <c:v>0.76063742216236097</c:v>
                </c:pt>
                <c:pt idx="37">
                  <c:v>0.79017927211128902</c:v>
                </c:pt>
                <c:pt idx="38">
                  <c:v>0.70299947700295695</c:v>
                </c:pt>
                <c:pt idx="39">
                  <c:v>0.75910514835174203</c:v>
                </c:pt>
                <c:pt idx="40">
                  <c:v>0.69314718055994495</c:v>
                </c:pt>
                <c:pt idx="41">
                  <c:v>0.70849275023460501</c:v>
                </c:pt>
                <c:pt idx="42">
                  <c:v>0.71393795022901896</c:v>
                </c:pt>
                <c:pt idx="43">
                  <c:v>0.70158604920580903</c:v>
                </c:pt>
                <c:pt idx="44">
                  <c:v>0.76815209420352404</c:v>
                </c:pt>
                <c:pt idx="45">
                  <c:v>0.79126503651846802</c:v>
                </c:pt>
                <c:pt idx="46">
                  <c:v>0.74329696424541603</c:v>
                </c:pt>
                <c:pt idx="47">
                  <c:v>0.86764444224637105</c:v>
                </c:pt>
                <c:pt idx="48">
                  <c:v>0.76497291513120003</c:v>
                </c:pt>
                <c:pt idx="49">
                  <c:v>0.79529499384187397</c:v>
                </c:pt>
                <c:pt idx="50">
                  <c:v>0.87632747506231701</c:v>
                </c:pt>
                <c:pt idx="51">
                  <c:v>0.76935378937058796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03-4313-9EEE-9A731CF3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935312"/>
        <c:axId val="389952112"/>
      </c:scatterChart>
      <c:valAx>
        <c:axId val="38993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52112"/>
        <c:crosses val="autoZero"/>
        <c:crossBetween val="midCat"/>
      </c:valAx>
      <c:valAx>
        <c:axId val="38995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3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TdTps vs. RankA  - Theta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Sheet5!$C$3</c:f>
              <c:strCache>
                <c:ptCount val="1"/>
                <c:pt idx="0">
                  <c:v> TdTps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Sheet5!$B$4:$B$15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</c:numCache>
            </c:numRef>
          </c:xVal>
          <c:yVal>
            <c:numRef>
              <c:f>Sheet5!$C$4:$C$15</c:f>
              <c:numCache>
                <c:formatCode>General</c:formatCode>
                <c:ptCount val="12"/>
                <c:pt idx="0">
                  <c:v>0.430676558073393</c:v>
                </c:pt>
                <c:pt idx="1">
                  <c:v>0.63092975357145697</c:v>
                </c:pt>
                <c:pt idx="2">
                  <c:v>1</c:v>
                </c:pt>
                <c:pt idx="3">
                  <c:v>1.3569154488567201</c:v>
                </c:pt>
                <c:pt idx="4">
                  <c:v>1.7095112913514501</c:v>
                </c:pt>
                <c:pt idx="5">
                  <c:v>1.7095112913514501</c:v>
                </c:pt>
                <c:pt idx="6">
                  <c:v>1.7095112913514501</c:v>
                </c:pt>
                <c:pt idx="7">
                  <c:v>1.7095112913514501</c:v>
                </c:pt>
                <c:pt idx="8">
                  <c:v>1.7095112913514501</c:v>
                </c:pt>
                <c:pt idx="9">
                  <c:v>1.7095112913514501</c:v>
                </c:pt>
                <c:pt idx="10">
                  <c:v>1.7095112913514501</c:v>
                </c:pt>
                <c:pt idx="11">
                  <c:v>3.1062837195053898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8B-4958-8F7D-5517DE320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029807"/>
        <c:axId val="1218026927"/>
      </c:scatterChart>
      <c:valAx>
        <c:axId val="121802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26927"/>
        <c:crosses val="autoZero"/>
        <c:crossBetween val="midCat"/>
      </c:valAx>
      <c:valAx>
        <c:axId val="121802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02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TdTps vs. RankA  - Omega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Sheet5!$P$3</c:f>
              <c:strCache>
                <c:ptCount val="1"/>
                <c:pt idx="0">
                  <c:v> TdTps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Sheet5!$N$4:$O$32</c:f>
              <c:multiLvlStrCache>
                <c:ptCount val="29"/>
                <c:lvl>
                  <c:pt idx="0">
                    <c:v>14</c:v>
                  </c:pt>
                  <c:pt idx="1">
                    <c:v>15</c:v>
                  </c:pt>
                  <c:pt idx="2">
                    <c:v>16</c:v>
                  </c:pt>
                  <c:pt idx="3">
                    <c:v>17</c:v>
                  </c:pt>
                  <c:pt idx="4">
                    <c:v>18</c:v>
                  </c:pt>
                  <c:pt idx="5">
                    <c:v>19</c:v>
                  </c:pt>
                  <c:pt idx="6">
                    <c:v>20</c:v>
                  </c:pt>
                  <c:pt idx="7">
                    <c:v>21</c:v>
                  </c:pt>
                  <c:pt idx="8">
                    <c:v>22</c:v>
                  </c:pt>
                  <c:pt idx="9">
                    <c:v>23</c:v>
                  </c:pt>
                  <c:pt idx="10">
                    <c:v>24</c:v>
                  </c:pt>
                  <c:pt idx="11">
                    <c:v>25</c:v>
                  </c:pt>
                  <c:pt idx="12">
                    <c:v>26</c:v>
                  </c:pt>
                  <c:pt idx="13">
                    <c:v>27</c:v>
                  </c:pt>
                  <c:pt idx="14">
                    <c:v>28</c:v>
                  </c:pt>
                  <c:pt idx="15">
                    <c:v>29</c:v>
                  </c:pt>
                  <c:pt idx="16">
                    <c:v>30</c:v>
                  </c:pt>
                  <c:pt idx="17">
                    <c:v>31</c:v>
                  </c:pt>
                  <c:pt idx="18">
                    <c:v>32</c:v>
                  </c:pt>
                  <c:pt idx="19">
                    <c:v>33</c:v>
                  </c:pt>
                  <c:pt idx="20">
                    <c:v>34</c:v>
                  </c:pt>
                  <c:pt idx="21">
                    <c:v>35</c:v>
                  </c:pt>
                  <c:pt idx="22">
                    <c:v>36</c:v>
                  </c:pt>
                  <c:pt idx="23">
                    <c:v>37</c:v>
                  </c:pt>
                  <c:pt idx="24">
                    <c:v>38</c:v>
                  </c:pt>
                  <c:pt idx="25">
                    <c:v>39</c:v>
                  </c:pt>
                  <c:pt idx="26">
                    <c:v>40</c:v>
                  </c:pt>
                  <c:pt idx="27">
                    <c:v>41</c:v>
                  </c:pt>
                  <c:pt idx="28">
                    <c:v>42</c:v>
                  </c:pt>
                </c:lvl>
                <c:lvl>
                  <c:pt idx="0">
                    <c:v>94</c:v>
                  </c:pt>
                  <c:pt idx="1">
                    <c:v>95</c:v>
                  </c:pt>
                  <c:pt idx="2">
                    <c:v>89</c:v>
                  </c:pt>
                  <c:pt idx="3">
                    <c:v>68</c:v>
                  </c:pt>
                  <c:pt idx="4">
                    <c:v>67</c:v>
                  </c:pt>
                  <c:pt idx="5">
                    <c:v>88</c:v>
                  </c:pt>
                  <c:pt idx="6">
                    <c:v>63</c:v>
                  </c:pt>
                  <c:pt idx="7">
                    <c:v>64</c:v>
                  </c:pt>
                  <c:pt idx="8">
                    <c:v>65</c:v>
                  </c:pt>
                  <c:pt idx="9">
                    <c:v>66</c:v>
                  </c:pt>
                  <c:pt idx="10">
                    <c:v>81</c:v>
                  </c:pt>
                  <c:pt idx="11">
                    <c:v>71</c:v>
                  </c:pt>
                  <c:pt idx="12">
                    <c:v>72</c:v>
                  </c:pt>
                  <c:pt idx="13">
                    <c:v>73</c:v>
                  </c:pt>
                  <c:pt idx="14">
                    <c:v>74</c:v>
                  </c:pt>
                  <c:pt idx="15">
                    <c:v>75</c:v>
                  </c:pt>
                  <c:pt idx="16">
                    <c:v>86</c:v>
                  </c:pt>
                  <c:pt idx="17">
                    <c:v>87</c:v>
                  </c:pt>
                  <c:pt idx="18">
                    <c:v>92</c:v>
                  </c:pt>
                  <c:pt idx="19">
                    <c:v>98</c:v>
                  </c:pt>
                  <c:pt idx="20">
                    <c:v>78</c:v>
                  </c:pt>
                  <c:pt idx="21">
                    <c:v>79</c:v>
                  </c:pt>
                  <c:pt idx="22">
                    <c:v>80</c:v>
                  </c:pt>
                  <c:pt idx="23">
                    <c:v>83</c:v>
                  </c:pt>
                  <c:pt idx="24">
                    <c:v>84</c:v>
                  </c:pt>
                  <c:pt idx="25">
                    <c:v>85</c:v>
                  </c:pt>
                  <c:pt idx="26">
                    <c:v>97</c:v>
                  </c:pt>
                  <c:pt idx="27">
                    <c:v>90</c:v>
                  </c:pt>
                  <c:pt idx="28">
                    <c:v>100</c:v>
                  </c:pt>
                </c:lvl>
              </c:multiLvlStrCache>
            </c:multiLvlStrRef>
          </c:cat>
          <c:val>
            <c:numRef>
              <c:f>Sheet5!$P$4:$P$32</c:f>
              <c:numCache>
                <c:formatCode>General</c:formatCode>
                <c:ptCount val="29"/>
                <c:pt idx="0">
                  <c:v>-5.1908930696844298</c:v>
                </c:pt>
                <c:pt idx="1">
                  <c:v>-5.1908930696844298</c:v>
                </c:pt>
                <c:pt idx="2">
                  <c:v>-3.1062837195053898</c:v>
                </c:pt>
                <c:pt idx="3">
                  <c:v>0.430676558073393</c:v>
                </c:pt>
                <c:pt idx="4">
                  <c:v>0.63092975357145697</c:v>
                </c:pt>
                <c:pt idx="5">
                  <c:v>0.75647079736602996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1.3569154488567201</c:v>
                </c:pt>
                <c:pt idx="11">
                  <c:v>1.7095112913514501</c:v>
                </c:pt>
                <c:pt idx="12">
                  <c:v>1.7095112913514501</c:v>
                </c:pt>
                <c:pt idx="13">
                  <c:v>1.7095112913514501</c:v>
                </c:pt>
                <c:pt idx="14">
                  <c:v>1.7095112913514501</c:v>
                </c:pt>
                <c:pt idx="15">
                  <c:v>1.7095112913514501</c:v>
                </c:pt>
                <c:pt idx="16">
                  <c:v>1.7095112913514501</c:v>
                </c:pt>
                <c:pt idx="17">
                  <c:v>1.7095112913514501</c:v>
                </c:pt>
                <c:pt idx="18">
                  <c:v>1.7095112913514501</c:v>
                </c:pt>
                <c:pt idx="19">
                  <c:v>1.7095112913514501</c:v>
                </c:pt>
                <c:pt idx="20">
                  <c:v>2.4094208396532002</c:v>
                </c:pt>
                <c:pt idx="21">
                  <c:v>2.4094208396532002</c:v>
                </c:pt>
                <c:pt idx="22">
                  <c:v>2.4094208396532002</c:v>
                </c:pt>
                <c:pt idx="23">
                  <c:v>3.1062837195053898</c:v>
                </c:pt>
                <c:pt idx="24">
                  <c:v>3.1062837195053898</c:v>
                </c:pt>
                <c:pt idx="25">
                  <c:v>3.1062837195053898</c:v>
                </c:pt>
                <c:pt idx="26">
                  <c:v>3.1062837195053898</c:v>
                </c:pt>
                <c:pt idx="27">
                  <c:v>3.8017840169239299</c:v>
                </c:pt>
                <c:pt idx="28">
                  <c:v>9.35320668499946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B-4100-B3B9-56FD6C03F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977967"/>
        <c:axId val="1217974127"/>
      </c:barChart>
      <c:catAx>
        <c:axId val="12179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74127"/>
        <c:crosses val="autoZero"/>
        <c:auto val="1"/>
        <c:lblAlgn val="ctr"/>
        <c:lblOffset val="100"/>
        <c:noMultiLvlLbl val="0"/>
      </c:catAx>
      <c:valAx>
        <c:axId val="121797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7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TdCac vs. RankA  - Omega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Sheet5!$AB$3</c:f>
              <c:strCache>
                <c:ptCount val="1"/>
                <c:pt idx="0">
                  <c:v> TdCac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Sheet5!$AA$4:$AA$40</c:f>
              <c:numCache>
                <c:formatCode>General</c:formatCode>
                <c:ptCount val="3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</c:numCache>
            </c:numRef>
          </c:xVal>
          <c:yVal>
            <c:numRef>
              <c:f>Sheet5!$AB$4:$AB$40</c:f>
              <c:numCache>
                <c:formatCode>General</c:formatCode>
                <c:ptCount val="37"/>
                <c:pt idx="0">
                  <c:v>-35.299861484584099</c:v>
                </c:pt>
                <c:pt idx="1">
                  <c:v>-7.5037595225205598</c:v>
                </c:pt>
                <c:pt idx="2">
                  <c:v>-1.74648457374294</c:v>
                </c:pt>
                <c:pt idx="3">
                  <c:v>0.55329475566511199</c:v>
                </c:pt>
                <c:pt idx="4">
                  <c:v>0.95985854692558203</c:v>
                </c:pt>
                <c:pt idx="5">
                  <c:v>1</c:v>
                </c:pt>
                <c:pt idx="6">
                  <c:v>1.0432096687204899</c:v>
                </c:pt>
                <c:pt idx="7">
                  <c:v>1.17924958483937</c:v>
                </c:pt>
                <c:pt idx="8">
                  <c:v>1.3569154488567201</c:v>
                </c:pt>
                <c:pt idx="9">
                  <c:v>1.6509249299241</c:v>
                </c:pt>
                <c:pt idx="10">
                  <c:v>1.65929799403658</c:v>
                </c:pt>
                <c:pt idx="11">
                  <c:v>1.7095112913514501</c:v>
                </c:pt>
                <c:pt idx="12">
                  <c:v>1.77974296962276</c:v>
                </c:pt>
                <c:pt idx="13">
                  <c:v>1.8001193459475999</c:v>
                </c:pt>
                <c:pt idx="14">
                  <c:v>1.88496184653024</c:v>
                </c:pt>
                <c:pt idx="15">
                  <c:v>1.9900484026476399</c:v>
                </c:pt>
                <c:pt idx="16">
                  <c:v>2.0510716888963598</c:v>
                </c:pt>
                <c:pt idx="17">
                  <c:v>2.1458240757226399</c:v>
                </c:pt>
                <c:pt idx="18">
                  <c:v>3.03667429271291</c:v>
                </c:pt>
                <c:pt idx="19">
                  <c:v>3.5578537245839601</c:v>
                </c:pt>
                <c:pt idx="20">
                  <c:v>3.6975154679172699</c:v>
                </c:pt>
                <c:pt idx="21">
                  <c:v>3.7371233016415499</c:v>
                </c:pt>
                <c:pt idx="22">
                  <c:v>3.8452244952874901</c:v>
                </c:pt>
                <c:pt idx="23">
                  <c:v>4.7148140832379299</c:v>
                </c:pt>
                <c:pt idx="24">
                  <c:v>4.7877717154122301</c:v>
                </c:pt>
                <c:pt idx="25">
                  <c:v>4.9925448702448296</c:v>
                </c:pt>
                <c:pt idx="26">
                  <c:v>5.2423128931211203</c:v>
                </c:pt>
                <c:pt idx="27">
                  <c:v>5.3028537083223801</c:v>
                </c:pt>
                <c:pt idx="28">
                  <c:v>5.42227097958021</c:v>
                </c:pt>
                <c:pt idx="29">
                  <c:v>5.7114558818216903</c:v>
                </c:pt>
                <c:pt idx="30">
                  <c:v>7.0798502464049404</c:v>
                </c:pt>
                <c:pt idx="31">
                  <c:v>11.260086185313799</c:v>
                </c:pt>
                <c:pt idx="32">
                  <c:v>16.841099171232599</c:v>
                </c:pt>
                <c:pt idx="33">
                  <c:v>22.756573062773501</c:v>
                </c:pt>
                <c:pt idx="34">
                  <c:v>35.349373586093698</c:v>
                </c:pt>
                <c:pt idx="35">
                  <c:v>41.241286430664502</c:v>
                </c:pt>
                <c:pt idx="36">
                  <c:v>55.797630484028602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52-4269-A672-185BD593C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938127"/>
        <c:axId val="1217935727"/>
      </c:scatterChart>
      <c:valAx>
        <c:axId val="121793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35727"/>
        <c:crosses val="autoZero"/>
        <c:crossBetween val="midCat"/>
      </c:valAx>
      <c:valAx>
        <c:axId val="12179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3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TdCac vs. Id  - Omega-37 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77875034767731E-2"/>
          <c:y val="0.17491651376794076"/>
          <c:w val="0.85592250198908304"/>
          <c:h val="0.66532836185029187"/>
        </c:manualLayout>
      </c:layout>
      <c:lineChart>
        <c:grouping val="standard"/>
        <c:varyColors val="0"/>
        <c:ser>
          <c:idx val="1"/>
          <c:order val="1"/>
          <c:tx>
            <c:strRef>
              <c:f>Sheet5!$AM$3</c:f>
              <c:strCache>
                <c:ptCount val="1"/>
                <c:pt idx="0">
                  <c:v> Id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rgbClr val="00B05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Sheet5!$AM$4:$AM$40</c:f>
              <c:numCache>
                <c:formatCode>General</c:formatCode>
                <c:ptCount val="37"/>
                <c:pt idx="0">
                  <c:v>77</c:v>
                </c:pt>
                <c:pt idx="1">
                  <c:v>63</c:v>
                </c:pt>
                <c:pt idx="2">
                  <c:v>66</c:v>
                </c:pt>
                <c:pt idx="3">
                  <c:v>74</c:v>
                </c:pt>
                <c:pt idx="4">
                  <c:v>84</c:v>
                </c:pt>
                <c:pt idx="5">
                  <c:v>67</c:v>
                </c:pt>
                <c:pt idx="6">
                  <c:v>79</c:v>
                </c:pt>
                <c:pt idx="7">
                  <c:v>70</c:v>
                </c:pt>
                <c:pt idx="8">
                  <c:v>71</c:v>
                </c:pt>
                <c:pt idx="9">
                  <c:v>76</c:v>
                </c:pt>
                <c:pt idx="10">
                  <c:v>62</c:v>
                </c:pt>
                <c:pt idx="11">
                  <c:v>57</c:v>
                </c:pt>
                <c:pt idx="12">
                  <c:v>75</c:v>
                </c:pt>
                <c:pt idx="13">
                  <c:v>80</c:v>
                </c:pt>
                <c:pt idx="14">
                  <c:v>61</c:v>
                </c:pt>
                <c:pt idx="15">
                  <c:v>72</c:v>
                </c:pt>
                <c:pt idx="16">
                  <c:v>99</c:v>
                </c:pt>
                <c:pt idx="17">
                  <c:v>96</c:v>
                </c:pt>
                <c:pt idx="18">
                  <c:v>73</c:v>
                </c:pt>
                <c:pt idx="19">
                  <c:v>98</c:v>
                </c:pt>
                <c:pt idx="20">
                  <c:v>94</c:v>
                </c:pt>
                <c:pt idx="21">
                  <c:v>86</c:v>
                </c:pt>
                <c:pt idx="22">
                  <c:v>78</c:v>
                </c:pt>
                <c:pt idx="23">
                  <c:v>100</c:v>
                </c:pt>
                <c:pt idx="24">
                  <c:v>93</c:v>
                </c:pt>
                <c:pt idx="25">
                  <c:v>97</c:v>
                </c:pt>
                <c:pt idx="26">
                  <c:v>82</c:v>
                </c:pt>
                <c:pt idx="27">
                  <c:v>85</c:v>
                </c:pt>
                <c:pt idx="28">
                  <c:v>88</c:v>
                </c:pt>
                <c:pt idx="29">
                  <c:v>83</c:v>
                </c:pt>
                <c:pt idx="30">
                  <c:v>95</c:v>
                </c:pt>
                <c:pt idx="31">
                  <c:v>64</c:v>
                </c:pt>
                <c:pt idx="32">
                  <c:v>91</c:v>
                </c:pt>
                <c:pt idx="33">
                  <c:v>90</c:v>
                </c:pt>
                <c:pt idx="34">
                  <c:v>87</c:v>
                </c:pt>
                <c:pt idx="35">
                  <c:v>92</c:v>
                </c:pt>
                <c:pt idx="36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A-4141-87A3-10FFB00315BC}"/>
            </c:ext>
          </c:extLst>
        </c:ser>
        <c:ser>
          <c:idx val="2"/>
          <c:order val="2"/>
          <c:tx>
            <c:strRef>
              <c:f>Sheet5!$AN$3</c:f>
              <c:strCache>
                <c:ptCount val="1"/>
                <c:pt idx="0">
                  <c:v> TdCac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Sheet5!$AN$4:$AN$40</c:f>
              <c:numCache>
                <c:formatCode>0.00</c:formatCode>
                <c:ptCount val="37"/>
                <c:pt idx="0">
                  <c:v>-35.299861484584099</c:v>
                </c:pt>
                <c:pt idx="1">
                  <c:v>-7.5037595225205598</c:v>
                </c:pt>
                <c:pt idx="2">
                  <c:v>-1.74648457374294</c:v>
                </c:pt>
                <c:pt idx="3">
                  <c:v>0.55329475566511199</c:v>
                </c:pt>
                <c:pt idx="4">
                  <c:v>0.95985854692558203</c:v>
                </c:pt>
                <c:pt idx="5">
                  <c:v>1</c:v>
                </c:pt>
                <c:pt idx="6">
                  <c:v>1.0432096687204899</c:v>
                </c:pt>
                <c:pt idx="7">
                  <c:v>1.17924958483937</c:v>
                </c:pt>
                <c:pt idx="8">
                  <c:v>1.3569154488567201</c:v>
                </c:pt>
                <c:pt idx="9">
                  <c:v>1.6509249299241</c:v>
                </c:pt>
                <c:pt idx="10">
                  <c:v>1.65929799403658</c:v>
                </c:pt>
                <c:pt idx="11">
                  <c:v>1.7095112913514501</c:v>
                </c:pt>
                <c:pt idx="12">
                  <c:v>1.77974296962276</c:v>
                </c:pt>
                <c:pt idx="13">
                  <c:v>1.8001193459475999</c:v>
                </c:pt>
                <c:pt idx="14">
                  <c:v>1.88496184653024</c:v>
                </c:pt>
                <c:pt idx="15">
                  <c:v>1.9900484026476399</c:v>
                </c:pt>
                <c:pt idx="16">
                  <c:v>2.0510716888963598</c:v>
                </c:pt>
                <c:pt idx="17">
                  <c:v>2.1458240757226399</c:v>
                </c:pt>
                <c:pt idx="18">
                  <c:v>3.03667429271291</c:v>
                </c:pt>
                <c:pt idx="19">
                  <c:v>3.5578537245839601</c:v>
                </c:pt>
                <c:pt idx="20">
                  <c:v>3.6975154679172699</c:v>
                </c:pt>
                <c:pt idx="21">
                  <c:v>3.7371233016415499</c:v>
                </c:pt>
                <c:pt idx="22">
                  <c:v>3.8452244952874901</c:v>
                </c:pt>
                <c:pt idx="23">
                  <c:v>4.7148140832379299</c:v>
                </c:pt>
                <c:pt idx="24">
                  <c:v>4.7877717154122301</c:v>
                </c:pt>
                <c:pt idx="25">
                  <c:v>4.9925448702448296</c:v>
                </c:pt>
                <c:pt idx="26">
                  <c:v>5.2423128931211203</c:v>
                </c:pt>
                <c:pt idx="27">
                  <c:v>5.3028537083223801</c:v>
                </c:pt>
                <c:pt idx="28">
                  <c:v>5.42227097958021</c:v>
                </c:pt>
                <c:pt idx="29">
                  <c:v>5.7114558818216903</c:v>
                </c:pt>
                <c:pt idx="30">
                  <c:v>7.0798502464049404</c:v>
                </c:pt>
                <c:pt idx="31">
                  <c:v>11.260086185313799</c:v>
                </c:pt>
                <c:pt idx="32">
                  <c:v>16.841099171232599</c:v>
                </c:pt>
                <c:pt idx="33">
                  <c:v>22.756573062773501</c:v>
                </c:pt>
                <c:pt idx="34">
                  <c:v>35.349373586093698</c:v>
                </c:pt>
                <c:pt idx="35">
                  <c:v>41.241286430664502</c:v>
                </c:pt>
                <c:pt idx="36">
                  <c:v>55.797630484028602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DA-4141-87A3-10FFB003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401807"/>
        <c:axId val="126839892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Sheet5!$AL$3</c15:sqref>
                        </c15:formulaRef>
                      </c:ext>
                    </c:extLst>
                    <c:strCache>
                      <c:ptCount val="1"/>
                      <c:pt idx="0">
                        <c:v>Id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Sheet5!$AL$4:$AL$40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77</c:v>
                      </c:pt>
                      <c:pt idx="1">
                        <c:v>63</c:v>
                      </c:pt>
                      <c:pt idx="2">
                        <c:v>66</c:v>
                      </c:pt>
                      <c:pt idx="3">
                        <c:v>74</c:v>
                      </c:pt>
                      <c:pt idx="4">
                        <c:v>84</c:v>
                      </c:pt>
                      <c:pt idx="5">
                        <c:v>67</c:v>
                      </c:pt>
                      <c:pt idx="6">
                        <c:v>79</c:v>
                      </c:pt>
                      <c:pt idx="7">
                        <c:v>70</c:v>
                      </c:pt>
                      <c:pt idx="8">
                        <c:v>71</c:v>
                      </c:pt>
                      <c:pt idx="9">
                        <c:v>76</c:v>
                      </c:pt>
                      <c:pt idx="10">
                        <c:v>62</c:v>
                      </c:pt>
                      <c:pt idx="11">
                        <c:v>57</c:v>
                      </c:pt>
                      <c:pt idx="12">
                        <c:v>75</c:v>
                      </c:pt>
                      <c:pt idx="13">
                        <c:v>80</c:v>
                      </c:pt>
                      <c:pt idx="14">
                        <c:v>61</c:v>
                      </c:pt>
                      <c:pt idx="15">
                        <c:v>72</c:v>
                      </c:pt>
                      <c:pt idx="16">
                        <c:v>99</c:v>
                      </c:pt>
                      <c:pt idx="17">
                        <c:v>96</c:v>
                      </c:pt>
                      <c:pt idx="18">
                        <c:v>73</c:v>
                      </c:pt>
                      <c:pt idx="19">
                        <c:v>98</c:v>
                      </c:pt>
                      <c:pt idx="20">
                        <c:v>94</c:v>
                      </c:pt>
                      <c:pt idx="21">
                        <c:v>86</c:v>
                      </c:pt>
                      <c:pt idx="22">
                        <c:v>78</c:v>
                      </c:pt>
                      <c:pt idx="23">
                        <c:v>100</c:v>
                      </c:pt>
                      <c:pt idx="24">
                        <c:v>93</c:v>
                      </c:pt>
                      <c:pt idx="25">
                        <c:v>97</c:v>
                      </c:pt>
                      <c:pt idx="26">
                        <c:v>82</c:v>
                      </c:pt>
                      <c:pt idx="27">
                        <c:v>85</c:v>
                      </c:pt>
                      <c:pt idx="28">
                        <c:v>88</c:v>
                      </c:pt>
                      <c:pt idx="29">
                        <c:v>83</c:v>
                      </c:pt>
                      <c:pt idx="30">
                        <c:v>95</c:v>
                      </c:pt>
                      <c:pt idx="31">
                        <c:v>64</c:v>
                      </c:pt>
                      <c:pt idx="32">
                        <c:v>91</c:v>
                      </c:pt>
                      <c:pt idx="33">
                        <c:v>90</c:v>
                      </c:pt>
                      <c:pt idx="34">
                        <c:v>87</c:v>
                      </c:pt>
                      <c:pt idx="35">
                        <c:v>92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4DA-4141-87A3-10FFB00315BC}"/>
                  </c:ext>
                </c:extLst>
              </c15:ser>
            </c15:filteredLineSeries>
          </c:ext>
        </c:extLst>
      </c:lineChart>
      <c:catAx>
        <c:axId val="126840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98927"/>
        <c:crosses val="autoZero"/>
        <c:auto val="1"/>
        <c:lblAlgn val="ctr"/>
        <c:lblOffset val="100"/>
        <c:tickMarkSkip val="1"/>
        <c:noMultiLvlLbl val="0"/>
      </c:catAx>
      <c:valAx>
        <c:axId val="1268398927"/>
        <c:scaling>
          <c:orientation val="minMax"/>
          <c:max val="10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0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TdTps vs. Id  - Omega-29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Sheet5!$BB$3</c:f>
              <c:strCache>
                <c:ptCount val="1"/>
                <c:pt idx="0">
                  <c:v> Id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Sheet5!$BB$4:$BB$32</c:f>
              <c:numCache>
                <c:formatCode>General</c:formatCode>
                <c:ptCount val="29"/>
                <c:pt idx="0">
                  <c:v>94</c:v>
                </c:pt>
                <c:pt idx="1">
                  <c:v>95</c:v>
                </c:pt>
                <c:pt idx="2">
                  <c:v>89</c:v>
                </c:pt>
                <c:pt idx="3">
                  <c:v>68</c:v>
                </c:pt>
                <c:pt idx="4">
                  <c:v>67</c:v>
                </c:pt>
                <c:pt idx="5">
                  <c:v>88</c:v>
                </c:pt>
                <c:pt idx="6">
                  <c:v>63</c:v>
                </c:pt>
                <c:pt idx="7">
                  <c:v>64</c:v>
                </c:pt>
                <c:pt idx="8">
                  <c:v>65</c:v>
                </c:pt>
                <c:pt idx="9">
                  <c:v>66</c:v>
                </c:pt>
                <c:pt idx="10">
                  <c:v>81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86</c:v>
                </c:pt>
                <c:pt idx="17">
                  <c:v>87</c:v>
                </c:pt>
                <c:pt idx="18">
                  <c:v>92</c:v>
                </c:pt>
                <c:pt idx="19">
                  <c:v>98</c:v>
                </c:pt>
                <c:pt idx="20">
                  <c:v>78</c:v>
                </c:pt>
                <c:pt idx="21">
                  <c:v>79</c:v>
                </c:pt>
                <c:pt idx="22">
                  <c:v>80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97</c:v>
                </c:pt>
                <c:pt idx="27">
                  <c:v>90</c:v>
                </c:pt>
                <c:pt idx="2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0-446B-B6D6-F2535F0EA9C6}"/>
            </c:ext>
          </c:extLst>
        </c:ser>
        <c:ser>
          <c:idx val="2"/>
          <c:order val="2"/>
          <c:tx>
            <c:strRef>
              <c:f>Sheet5!$BD$3</c:f>
              <c:strCache>
                <c:ptCount val="1"/>
                <c:pt idx="0">
                  <c:v>TdTps  x10</c:v>
                </c:pt>
              </c:strCache>
            </c:strRef>
          </c:tx>
          <c:spPr>
            <a:ln w="19050" cap="rnd">
              <a:solidFill>
                <a:sysClr val="windowText" lastClr="000000">
                  <a:lumMod val="25000"/>
                  <a:lumOff val="75000"/>
                </a:sys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Sheet5!$BD$4:$BD$32</c:f>
              <c:numCache>
                <c:formatCode>0</c:formatCode>
                <c:ptCount val="29"/>
                <c:pt idx="0">
                  <c:v>-51.908930696844294</c:v>
                </c:pt>
                <c:pt idx="1">
                  <c:v>-51.908930696844294</c:v>
                </c:pt>
                <c:pt idx="2">
                  <c:v>-31.062837195053898</c:v>
                </c:pt>
                <c:pt idx="3">
                  <c:v>4.3067655807339298</c:v>
                </c:pt>
                <c:pt idx="4">
                  <c:v>6.3092975357145695</c:v>
                </c:pt>
                <c:pt idx="5">
                  <c:v>7.5647079736602993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13.5691544885672</c:v>
                </c:pt>
                <c:pt idx="11">
                  <c:v>17.095112913514502</c:v>
                </c:pt>
                <c:pt idx="12">
                  <c:v>17.095112913514502</c:v>
                </c:pt>
                <c:pt idx="13">
                  <c:v>17.095112913514502</c:v>
                </c:pt>
                <c:pt idx="14">
                  <c:v>17.095112913514502</c:v>
                </c:pt>
                <c:pt idx="15">
                  <c:v>17.095112913514502</c:v>
                </c:pt>
                <c:pt idx="16">
                  <c:v>17.095112913514502</c:v>
                </c:pt>
                <c:pt idx="17">
                  <c:v>17.095112913514502</c:v>
                </c:pt>
                <c:pt idx="18">
                  <c:v>17.095112913514502</c:v>
                </c:pt>
                <c:pt idx="19">
                  <c:v>17.095112913514502</c:v>
                </c:pt>
                <c:pt idx="20">
                  <c:v>24.094208396532004</c:v>
                </c:pt>
                <c:pt idx="21">
                  <c:v>24.094208396532004</c:v>
                </c:pt>
                <c:pt idx="22">
                  <c:v>24.094208396532004</c:v>
                </c:pt>
                <c:pt idx="23">
                  <c:v>31.062837195053898</c:v>
                </c:pt>
                <c:pt idx="24">
                  <c:v>31.062837195053898</c:v>
                </c:pt>
                <c:pt idx="25">
                  <c:v>31.062837195053898</c:v>
                </c:pt>
                <c:pt idx="26">
                  <c:v>31.062837195053898</c:v>
                </c:pt>
                <c:pt idx="27">
                  <c:v>38.0178401692393</c:v>
                </c:pt>
                <c:pt idx="28">
                  <c:v>93.532066849994607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290-446B-B6D6-F2535F0EA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996975"/>
        <c:axId val="855331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Sheet5!$BC$3</c15:sqref>
                        </c15:formulaRef>
                      </c:ext>
                    </c:extLst>
                    <c:strCache>
                      <c:ptCount val="1"/>
                      <c:pt idx="0">
                        <c:v> TdTps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Sheet5!$BC$4:$BC$32</c15:sqref>
                        </c15:formulaRef>
                      </c:ext>
                    </c:extLst>
                    <c:numCache>
                      <c:formatCode>0.00</c:formatCode>
                      <c:ptCount val="29"/>
                      <c:pt idx="0">
                        <c:v>-5.1908930696844298</c:v>
                      </c:pt>
                      <c:pt idx="1">
                        <c:v>-5.1908930696844298</c:v>
                      </c:pt>
                      <c:pt idx="2">
                        <c:v>-3.1062837195053898</c:v>
                      </c:pt>
                      <c:pt idx="3">
                        <c:v>0.430676558073393</c:v>
                      </c:pt>
                      <c:pt idx="4">
                        <c:v>0.63092975357145697</c:v>
                      </c:pt>
                      <c:pt idx="5">
                        <c:v>0.75647079736602996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1.3569154488567201</c:v>
                      </c:pt>
                      <c:pt idx="11">
                        <c:v>1.7095112913514501</c:v>
                      </c:pt>
                      <c:pt idx="12">
                        <c:v>1.7095112913514501</c:v>
                      </c:pt>
                      <c:pt idx="13">
                        <c:v>1.7095112913514501</c:v>
                      </c:pt>
                      <c:pt idx="14">
                        <c:v>1.7095112913514501</c:v>
                      </c:pt>
                      <c:pt idx="15">
                        <c:v>1.7095112913514501</c:v>
                      </c:pt>
                      <c:pt idx="16">
                        <c:v>1.7095112913514501</c:v>
                      </c:pt>
                      <c:pt idx="17">
                        <c:v>1.7095112913514501</c:v>
                      </c:pt>
                      <c:pt idx="18">
                        <c:v>1.7095112913514501</c:v>
                      </c:pt>
                      <c:pt idx="19">
                        <c:v>1.7095112913514501</c:v>
                      </c:pt>
                      <c:pt idx="20">
                        <c:v>2.4094208396532002</c:v>
                      </c:pt>
                      <c:pt idx="21">
                        <c:v>2.4094208396532002</c:v>
                      </c:pt>
                      <c:pt idx="22">
                        <c:v>2.4094208396532002</c:v>
                      </c:pt>
                      <c:pt idx="23">
                        <c:v>3.1062837195053898</c:v>
                      </c:pt>
                      <c:pt idx="24">
                        <c:v>3.1062837195053898</c:v>
                      </c:pt>
                      <c:pt idx="25">
                        <c:v>3.1062837195053898</c:v>
                      </c:pt>
                      <c:pt idx="26">
                        <c:v>3.1062837195053898</c:v>
                      </c:pt>
                      <c:pt idx="27">
                        <c:v>3.8017840169239299</c:v>
                      </c:pt>
                      <c:pt idx="28">
                        <c:v>9.35320668499946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290-446B-B6D6-F2535F0EA9C6}"/>
                  </c:ext>
                </c:extLst>
              </c15:ser>
            </c15:filteredLineSeries>
          </c:ext>
        </c:extLst>
      </c:lineChart>
      <c:catAx>
        <c:axId val="127099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3135"/>
        <c:crosses val="autoZero"/>
        <c:auto val="1"/>
        <c:lblAlgn val="ctr"/>
        <c:lblOffset val="100"/>
        <c:noMultiLvlLbl val="0"/>
      </c:catAx>
      <c:valAx>
        <c:axId val="85533135"/>
        <c:scaling>
          <c:orientation val="minMax"/>
          <c:max val="110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9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Sheet5!$AQ$52</c:f>
              <c:strCache>
                <c:ptCount val="1"/>
                <c:pt idx="0">
                  <c:v>TdTps  x10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Sheet5!$AQ$53:$AQ$92</c:f>
              <c:numCache>
                <c:formatCode>0</c:formatCode>
                <c:ptCount val="4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8.5475564567572508</c:v>
                </c:pt>
                <c:pt idx="4">
                  <c:v>15.531418597526949</c:v>
                </c:pt>
                <c:pt idx="5">
                  <c:v>3.1546487678572848</c:v>
                </c:pt>
                <c:pt idx="6">
                  <c:v>12.047104198266002</c:v>
                </c:pt>
                <c:pt idx="7">
                  <c:v>0</c:v>
                </c:pt>
                <c:pt idx="8">
                  <c:v>8.5475564567572508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8.5475564567572508</c:v>
                </c:pt>
                <c:pt idx="13">
                  <c:v>12.047104198266002</c:v>
                </c:pt>
                <c:pt idx="14">
                  <c:v>0</c:v>
                </c:pt>
                <c:pt idx="15">
                  <c:v>8.5475564567572508</c:v>
                </c:pt>
                <c:pt idx="16">
                  <c:v>0</c:v>
                </c:pt>
                <c:pt idx="17">
                  <c:v>0</c:v>
                </c:pt>
                <c:pt idx="18">
                  <c:v>8.5475564567572508</c:v>
                </c:pt>
                <c:pt idx="19">
                  <c:v>8.5475564567572508</c:v>
                </c:pt>
                <c:pt idx="20">
                  <c:v>-25.954465348422147</c:v>
                </c:pt>
                <c:pt idx="21">
                  <c:v>8.5475564567572508</c:v>
                </c:pt>
                <c:pt idx="22">
                  <c:v>12.047104198266002</c:v>
                </c:pt>
                <c:pt idx="23">
                  <c:v>46.766033424997303</c:v>
                </c:pt>
                <c:pt idx="24">
                  <c:v>0</c:v>
                </c:pt>
                <c:pt idx="25">
                  <c:v>15.531418597526949</c:v>
                </c:pt>
                <c:pt idx="26">
                  <c:v>0</c:v>
                </c:pt>
                <c:pt idx="27">
                  <c:v>15.531418597526949</c:v>
                </c:pt>
                <c:pt idx="28">
                  <c:v>3.7823539868301497</c:v>
                </c:pt>
                <c:pt idx="29">
                  <c:v>15.531418597526949</c:v>
                </c:pt>
                <c:pt idx="30">
                  <c:v>-25.954465348422147</c:v>
                </c:pt>
                <c:pt idx="31">
                  <c:v>5</c:v>
                </c:pt>
                <c:pt idx="32">
                  <c:v>0</c:v>
                </c:pt>
                <c:pt idx="33">
                  <c:v>19.00892008461965</c:v>
                </c:pt>
                <c:pt idx="34">
                  <c:v>8.5475564567572508</c:v>
                </c:pt>
                <c:pt idx="35">
                  <c:v>8.5475564567572508</c:v>
                </c:pt>
                <c:pt idx="36">
                  <c:v>6.7845772442836001</c:v>
                </c:pt>
                <c:pt idx="37">
                  <c:v>-15.531418597526949</c:v>
                </c:pt>
                <c:pt idx="38">
                  <c:v>2.1533827903669649</c:v>
                </c:pt>
                <c:pt idx="3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6B-4676-8C6F-ABF411543FFB}"/>
            </c:ext>
          </c:extLst>
        </c:ser>
        <c:ser>
          <c:idx val="3"/>
          <c:order val="3"/>
          <c:tx>
            <c:strRef>
              <c:f>Sheet5!$AR$52</c:f>
              <c:strCache>
                <c:ptCount val="1"/>
                <c:pt idx="0">
                  <c:v> TdCac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Sheet5!$AR$53:$AR$92</c:f>
              <c:numCache>
                <c:formatCode>0.00</c:formatCode>
                <c:ptCount val="40"/>
                <c:pt idx="0">
                  <c:v>-35.299861484584099</c:v>
                </c:pt>
                <c:pt idx="1">
                  <c:v>-7.5037595225205598</c:v>
                </c:pt>
                <c:pt idx="2">
                  <c:v>-1.74648457374294</c:v>
                </c:pt>
                <c:pt idx="3">
                  <c:v>0.55329475566511199</c:v>
                </c:pt>
                <c:pt idx="4">
                  <c:v>0.95985854692558203</c:v>
                </c:pt>
                <c:pt idx="5">
                  <c:v>1</c:v>
                </c:pt>
                <c:pt idx="6">
                  <c:v>1.0432096687204899</c:v>
                </c:pt>
                <c:pt idx="7">
                  <c:v>1.17924958483937</c:v>
                </c:pt>
                <c:pt idx="8">
                  <c:v>1.3569154488567201</c:v>
                </c:pt>
                <c:pt idx="9">
                  <c:v>1.6509249299241</c:v>
                </c:pt>
                <c:pt idx="10">
                  <c:v>1.65929799403658</c:v>
                </c:pt>
                <c:pt idx="11">
                  <c:v>1.7095112913514501</c:v>
                </c:pt>
                <c:pt idx="12">
                  <c:v>1.77974296962276</c:v>
                </c:pt>
                <c:pt idx="13">
                  <c:v>1.8001193459475999</c:v>
                </c:pt>
                <c:pt idx="14">
                  <c:v>1.88496184653024</c:v>
                </c:pt>
                <c:pt idx="15">
                  <c:v>1.9900484026476399</c:v>
                </c:pt>
                <c:pt idx="16">
                  <c:v>2.0510716888963598</c:v>
                </c:pt>
                <c:pt idx="17">
                  <c:v>2.1458240757226399</c:v>
                </c:pt>
                <c:pt idx="18">
                  <c:v>3.03667429271291</c:v>
                </c:pt>
                <c:pt idx="19">
                  <c:v>3.5578537245839601</c:v>
                </c:pt>
                <c:pt idx="20">
                  <c:v>3.6975154679172699</c:v>
                </c:pt>
                <c:pt idx="21">
                  <c:v>3.7371233016415499</c:v>
                </c:pt>
                <c:pt idx="22">
                  <c:v>3.8452244952874901</c:v>
                </c:pt>
                <c:pt idx="23">
                  <c:v>4.7148140832379299</c:v>
                </c:pt>
                <c:pt idx="24">
                  <c:v>4.7877717154122301</c:v>
                </c:pt>
                <c:pt idx="25">
                  <c:v>4.9925448702448296</c:v>
                </c:pt>
                <c:pt idx="26">
                  <c:v>5.2423128931211203</c:v>
                </c:pt>
                <c:pt idx="27">
                  <c:v>5.3028537083223801</c:v>
                </c:pt>
                <c:pt idx="28">
                  <c:v>5.42227097958021</c:v>
                </c:pt>
                <c:pt idx="29">
                  <c:v>5.7114558818216903</c:v>
                </c:pt>
                <c:pt idx="30">
                  <c:v>7.0798502464049404</c:v>
                </c:pt>
                <c:pt idx="31">
                  <c:v>11.260086185313799</c:v>
                </c:pt>
                <c:pt idx="32">
                  <c:v>16.841099171232599</c:v>
                </c:pt>
                <c:pt idx="33">
                  <c:v>22.756573062773501</c:v>
                </c:pt>
                <c:pt idx="34">
                  <c:v>35.349373586093698</c:v>
                </c:pt>
                <c:pt idx="35">
                  <c:v>41.241286430664502</c:v>
                </c:pt>
                <c:pt idx="36">
                  <c:v>55.797630484028602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6B-4676-8C6F-ABF411543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930863"/>
        <c:axId val="12219318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Sheet5!$AO$52</c15:sqref>
                        </c15:formulaRef>
                      </c:ext>
                    </c:extLst>
                    <c:strCache>
                      <c:ptCount val="1"/>
                      <c:pt idx="0">
                        <c:v> Id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Sheet5!$AO$53:$AO$92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77</c:v>
                      </c:pt>
                      <c:pt idx="1">
                        <c:v>63</c:v>
                      </c:pt>
                      <c:pt idx="2">
                        <c:v>66</c:v>
                      </c:pt>
                      <c:pt idx="3">
                        <c:v>74</c:v>
                      </c:pt>
                      <c:pt idx="4">
                        <c:v>84</c:v>
                      </c:pt>
                      <c:pt idx="5">
                        <c:v>67</c:v>
                      </c:pt>
                      <c:pt idx="6">
                        <c:v>79</c:v>
                      </c:pt>
                      <c:pt idx="7">
                        <c:v>70</c:v>
                      </c:pt>
                      <c:pt idx="8">
                        <c:v>71</c:v>
                      </c:pt>
                      <c:pt idx="9">
                        <c:v>76</c:v>
                      </c:pt>
                      <c:pt idx="10">
                        <c:v>62</c:v>
                      </c:pt>
                      <c:pt idx="11">
                        <c:v>57</c:v>
                      </c:pt>
                      <c:pt idx="12">
                        <c:v>75</c:v>
                      </c:pt>
                      <c:pt idx="13">
                        <c:v>80</c:v>
                      </c:pt>
                      <c:pt idx="14">
                        <c:v>61</c:v>
                      </c:pt>
                      <c:pt idx="15">
                        <c:v>72</c:v>
                      </c:pt>
                      <c:pt idx="16">
                        <c:v>99</c:v>
                      </c:pt>
                      <c:pt idx="17">
                        <c:v>96</c:v>
                      </c:pt>
                      <c:pt idx="18">
                        <c:v>73</c:v>
                      </c:pt>
                      <c:pt idx="19">
                        <c:v>98</c:v>
                      </c:pt>
                      <c:pt idx="20">
                        <c:v>94</c:v>
                      </c:pt>
                      <c:pt idx="21">
                        <c:v>86</c:v>
                      </c:pt>
                      <c:pt idx="22">
                        <c:v>78</c:v>
                      </c:pt>
                      <c:pt idx="23">
                        <c:v>100</c:v>
                      </c:pt>
                      <c:pt idx="24">
                        <c:v>93</c:v>
                      </c:pt>
                      <c:pt idx="25">
                        <c:v>97</c:v>
                      </c:pt>
                      <c:pt idx="26">
                        <c:v>82</c:v>
                      </c:pt>
                      <c:pt idx="27">
                        <c:v>85</c:v>
                      </c:pt>
                      <c:pt idx="28">
                        <c:v>88</c:v>
                      </c:pt>
                      <c:pt idx="29">
                        <c:v>83</c:v>
                      </c:pt>
                      <c:pt idx="30">
                        <c:v>95</c:v>
                      </c:pt>
                      <c:pt idx="31">
                        <c:v>64</c:v>
                      </c:pt>
                      <c:pt idx="32">
                        <c:v>91</c:v>
                      </c:pt>
                      <c:pt idx="33">
                        <c:v>90</c:v>
                      </c:pt>
                      <c:pt idx="34">
                        <c:v>87</c:v>
                      </c:pt>
                      <c:pt idx="35">
                        <c:v>92</c:v>
                      </c:pt>
                      <c:pt idx="36">
                        <c:v>81</c:v>
                      </c:pt>
                      <c:pt idx="37">
                        <c:v>89</c:v>
                      </c:pt>
                      <c:pt idx="38">
                        <c:v>68</c:v>
                      </c:pt>
                      <c:pt idx="39">
                        <c:v>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36B-4676-8C6F-ABF411543FF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Sheet5!$AP$52</c15:sqref>
                        </c15:formulaRef>
                      </c:ext>
                    </c:extLst>
                    <c:strCache>
                      <c:ptCount val="1"/>
                      <c:pt idx="0">
                        <c:v> TdTps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Sheet5!$AP$53:$AP$92</c15:sqref>
                        </c15:formulaRef>
                      </c:ext>
                    </c:extLst>
                    <c:numCache>
                      <c:formatCode>0.00</c:formatCode>
                      <c:ptCount val="40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1.7095112913514501</c:v>
                      </c:pt>
                      <c:pt idx="4">
                        <c:v>3.1062837195053898</c:v>
                      </c:pt>
                      <c:pt idx="5">
                        <c:v>0.63092975357145697</c:v>
                      </c:pt>
                      <c:pt idx="6">
                        <c:v>2.4094208396532002</c:v>
                      </c:pt>
                      <c:pt idx="7">
                        <c:v>0</c:v>
                      </c:pt>
                      <c:pt idx="8">
                        <c:v>1.7095112913514501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1.7095112913514501</c:v>
                      </c:pt>
                      <c:pt idx="13">
                        <c:v>2.4094208396532002</c:v>
                      </c:pt>
                      <c:pt idx="14">
                        <c:v>0</c:v>
                      </c:pt>
                      <c:pt idx="15">
                        <c:v>1.7095112913514501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1.7095112913514501</c:v>
                      </c:pt>
                      <c:pt idx="19">
                        <c:v>1.7095112913514501</c:v>
                      </c:pt>
                      <c:pt idx="20">
                        <c:v>-5.1908930696844298</c:v>
                      </c:pt>
                      <c:pt idx="21">
                        <c:v>1.7095112913514501</c:v>
                      </c:pt>
                      <c:pt idx="22">
                        <c:v>2.4094208396532002</c:v>
                      </c:pt>
                      <c:pt idx="23">
                        <c:v>9.35320668499946</c:v>
                      </c:pt>
                      <c:pt idx="24">
                        <c:v>0</c:v>
                      </c:pt>
                      <c:pt idx="25">
                        <c:v>3.1062837195053898</c:v>
                      </c:pt>
                      <c:pt idx="26">
                        <c:v>0</c:v>
                      </c:pt>
                      <c:pt idx="27">
                        <c:v>3.1062837195053898</c:v>
                      </c:pt>
                      <c:pt idx="28">
                        <c:v>0.75647079736602996</c:v>
                      </c:pt>
                      <c:pt idx="29">
                        <c:v>3.1062837195053898</c:v>
                      </c:pt>
                      <c:pt idx="30">
                        <c:v>-5.1908930696844298</c:v>
                      </c:pt>
                      <c:pt idx="31">
                        <c:v>1</c:v>
                      </c:pt>
                      <c:pt idx="32">
                        <c:v>0</c:v>
                      </c:pt>
                      <c:pt idx="33">
                        <c:v>3.8017840169239299</c:v>
                      </c:pt>
                      <c:pt idx="34">
                        <c:v>1.7095112913514501</c:v>
                      </c:pt>
                      <c:pt idx="35">
                        <c:v>1.7095112913514501</c:v>
                      </c:pt>
                      <c:pt idx="36">
                        <c:v>1.3569154488567201</c:v>
                      </c:pt>
                      <c:pt idx="37">
                        <c:v>-3.1062837195053898</c:v>
                      </c:pt>
                      <c:pt idx="38">
                        <c:v>0.430676558073393</c:v>
                      </c:pt>
                      <c:pt idx="3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36B-4676-8C6F-ABF411543FFB}"/>
                  </c:ext>
                </c:extLst>
              </c15:ser>
            </c15:filteredLineSeries>
          </c:ext>
        </c:extLst>
      </c:lineChart>
      <c:catAx>
        <c:axId val="122193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31823"/>
        <c:crosses val="autoZero"/>
        <c:auto val="1"/>
        <c:lblAlgn val="ctr"/>
        <c:lblOffset val="100"/>
        <c:noMultiLvlLbl val="0"/>
      </c:catAx>
      <c:valAx>
        <c:axId val="12219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3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13" Type="http://schemas.openxmlformats.org/officeDocument/2006/relationships/chart" Target="../charts/chart32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5" Type="http://schemas.openxmlformats.org/officeDocument/2006/relationships/chart" Target="../charts/chart3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829888</xdr:colOff>
      <xdr:row>43</xdr:row>
      <xdr:rowOff>95251</xdr:rowOff>
    </xdr:from>
    <xdr:to>
      <xdr:col>10</xdr:col>
      <xdr:colOff>523009</xdr:colOff>
      <xdr:row>58</xdr:row>
      <xdr:rowOff>25631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020C8-3F03-EE8E-5059-88ACA5844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60960</xdr:colOff>
      <xdr:row>50</xdr:row>
      <xdr:rowOff>131717</xdr:rowOff>
    </xdr:from>
    <xdr:ext cx="2197205" cy="95346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04782E-77BB-114A-DC3B-177129069EC1}"/>
            </a:ext>
          </a:extLst>
        </xdr:cNvPr>
        <xdr:cNvSpPr txBox="1"/>
      </xdr:nvSpPr>
      <xdr:spPr>
        <a:xfrm>
          <a:off x="60960" y="10440488"/>
          <a:ext cx="2197205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Ω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Omega  - The enntire set</a:t>
          </a:r>
          <a:endParaRPr lang="en-US">
            <a:effectLst/>
          </a:endParaRPr>
        </a:p>
        <a:p>
          <a:r>
            <a:rPr lang="el-GR" sz="1100"/>
            <a:t>ζ </a:t>
          </a:r>
          <a:r>
            <a:rPr lang="en-US" sz="1100"/>
            <a:t>Zeta - Neative</a:t>
          </a:r>
          <a:r>
            <a:rPr lang="en-US" sz="1100" baseline="0"/>
            <a:t> metric increase</a:t>
          </a:r>
          <a:br>
            <a:rPr lang="en-US" sz="1100"/>
          </a:br>
          <a:r>
            <a:rPr lang="el-GR" sz="1100"/>
            <a:t>γ </a:t>
          </a:r>
          <a:r>
            <a:rPr lang="en-US" sz="1100"/>
            <a:t>Gamma - No CAC</a:t>
          </a:r>
          <a:br>
            <a:rPr lang="en-US" sz="1100"/>
          </a:br>
          <a:r>
            <a:rPr lang="el-G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η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CAC greater than 10 increase</a:t>
          </a:r>
          <a:b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l-GR" sz="1100"/>
            <a:t>θ </a:t>
          </a:r>
          <a:r>
            <a:rPr lang="en-US" sz="1100"/>
            <a:t>Theta - CAC 10 or less</a:t>
          </a:r>
          <a:r>
            <a:rPr lang="en-US" sz="1100" baseline="0"/>
            <a:t> increase</a:t>
          </a:r>
          <a:endParaRPr lang="en-US" sz="11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0.02162</cdr:x>
      <cdr:y>0.13483</cdr:y>
    </cdr:from>
    <cdr:to>
      <cdr:x>0.34964</cdr:x>
      <cdr:y>0.41279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DA1290B0-C66F-3395-F108-83D7FF76D2D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4004" y="416257"/>
          <a:ext cx="1881102" cy="85813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34290</xdr:rowOff>
    </xdr:from>
    <xdr:to>
      <xdr:col>11</xdr:col>
      <xdr:colOff>373380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2282B-A9E9-5237-1E7D-22C543D46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3</xdr:row>
      <xdr:rowOff>11430</xdr:rowOff>
    </xdr:from>
    <xdr:to>
      <xdr:col>23</xdr:col>
      <xdr:colOff>487680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4F5FD-2192-A85C-51B7-1DF63726E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274320</xdr:colOff>
      <xdr:row>2</xdr:row>
      <xdr:rowOff>11430</xdr:rowOff>
    </xdr:from>
    <xdr:to>
      <xdr:col>35</xdr:col>
      <xdr:colOff>579120</xdr:colOff>
      <xdr:row>29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2708E-A096-E873-1B17-03B75825A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10885</xdr:colOff>
      <xdr:row>13</xdr:row>
      <xdr:rowOff>152400</xdr:rowOff>
    </xdr:from>
    <xdr:to>
      <xdr:col>46</xdr:col>
      <xdr:colOff>130629</xdr:colOff>
      <xdr:row>39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5C6842-364E-7B16-4BAE-E526B2C30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166350</xdr:colOff>
      <xdr:row>67</xdr:row>
      <xdr:rowOff>164306</xdr:rowOff>
    </xdr:to>
    <xdr:graphicFrame macro="">
      <xdr:nvGraphicFramePr>
        <xdr:cNvPr id="4" name="Chart 3" descr="Graph of Set natural divions for longnitudinal analysis">
          <a:extLst>
            <a:ext uri="{FF2B5EF4-FFF2-40B4-BE49-F238E27FC236}">
              <a16:creationId xmlns:a16="http://schemas.microsoft.com/office/drawing/2014/main" id="{61674416-42A9-4DBE-8DEE-975ADAEAF0C2}"/>
            </a:ext>
            <a:ext uri="{147F2762-F138-4A5C-976F-8EAC2B608ADB}">
              <a16:predDERef xmlns:a16="http://schemas.microsoft.com/office/drawing/2014/main" pred="{9EF8FBC2-AF9F-471A-3265-390233503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20523</xdr:colOff>
      <xdr:row>107</xdr:row>
      <xdr:rowOff>8758</xdr:rowOff>
    </xdr:from>
    <xdr:to>
      <xdr:col>16</xdr:col>
      <xdr:colOff>887506</xdr:colOff>
      <xdr:row>130</xdr:row>
      <xdr:rowOff>15239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0D9B3-B856-B501-E48D-ED7BA5298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874014</xdr:colOff>
      <xdr:row>107</xdr:row>
      <xdr:rowOff>9011</xdr:rowOff>
    </xdr:from>
    <xdr:to>
      <xdr:col>24</xdr:col>
      <xdr:colOff>11128</xdr:colOff>
      <xdr:row>130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C23100-4945-9563-3424-58CB48A1E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638041</xdr:colOff>
      <xdr:row>107</xdr:row>
      <xdr:rowOff>8037</xdr:rowOff>
    </xdr:from>
    <xdr:to>
      <xdr:col>9</xdr:col>
      <xdr:colOff>28442</xdr:colOff>
      <xdr:row>130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AAC246-F8D5-4705-AF7D-B841C001A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0.02755</cdr:y>
    </cdr:from>
    <cdr:to>
      <cdr:x>0.22076</cdr:x>
      <cdr:y>0.18955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836B2773-9E17-821E-C081-C878ADE45F2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108857"/>
          <a:ext cx="1237595" cy="64013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  <a:alpha val="38000"/>
          </a:schemeClr>
        </a:solidFill>
      </cdr:spPr>
    </cdr:pic>
  </cdr:relSizeAnchor>
  <cdr:relSizeAnchor xmlns:cdr="http://schemas.openxmlformats.org/drawingml/2006/chartDrawing">
    <cdr:from>
      <cdr:x>0.30291</cdr:x>
      <cdr:y>0.60055</cdr:y>
    </cdr:from>
    <cdr:to>
      <cdr:x>0.58348</cdr:x>
      <cdr:y>0.76255</cdr:y>
    </cdr:to>
    <cdr:pic>
      <cdr:nvPicPr>
        <cdr:cNvPr id="7" name="chart">
          <a:extLst xmlns:a="http://schemas.openxmlformats.org/drawingml/2006/main">
            <a:ext uri="{FF2B5EF4-FFF2-40B4-BE49-F238E27FC236}">
              <a16:creationId xmlns:a16="http://schemas.microsoft.com/office/drawing/2014/main" id="{C2B11A72-74D1-4E9E-E37D-F5B9A93F9D1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698172" y="2373086"/>
          <a:ext cx="1572904" cy="64013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  <a:alpha val="39000"/>
          </a:schemeClr>
        </a:solidFill>
      </cdr:spPr>
    </cdr:pic>
  </cdr:relSizeAnchor>
  <cdr:relSizeAnchor xmlns:cdr="http://schemas.openxmlformats.org/drawingml/2006/chartDrawing">
    <cdr:from>
      <cdr:x>0.58058</cdr:x>
      <cdr:y>0.68871</cdr:y>
    </cdr:from>
    <cdr:to>
      <cdr:x>0.80569</cdr:x>
      <cdr:y>0.8507</cdr:y>
    </cdr:to>
    <cdr:pic>
      <cdr:nvPicPr>
        <cdr:cNvPr id="8" name="chart">
          <a:extLst xmlns:a="http://schemas.openxmlformats.org/drawingml/2006/main">
            <a:ext uri="{FF2B5EF4-FFF2-40B4-BE49-F238E27FC236}">
              <a16:creationId xmlns:a16="http://schemas.microsoft.com/office/drawing/2014/main" id="{2FA301EC-2804-221B-7CC8-8FF780249A1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3254829" y="2721428"/>
          <a:ext cx="1261981" cy="64013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0.67767</cdr:x>
      <cdr:y>0.14876</cdr:y>
    </cdr:from>
    <cdr:to>
      <cdr:x>0.9963</cdr:x>
      <cdr:y>0.35396</cdr:y>
    </cdr:to>
    <cdr:pic>
      <cdr:nvPicPr>
        <cdr:cNvPr id="10" name="chart">
          <a:extLst xmlns:a="http://schemas.openxmlformats.org/drawingml/2006/main">
            <a:ext uri="{FF2B5EF4-FFF2-40B4-BE49-F238E27FC236}">
              <a16:creationId xmlns:a16="http://schemas.microsoft.com/office/drawing/2014/main" id="{69DFC1CE-5C55-FED1-8CE6-EB0AEF9A8CD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cdr:blipFill>
      <cdr:spPr>
        <a:xfrm xmlns:a="http://schemas.openxmlformats.org/drawingml/2006/main">
          <a:off x="3799114" y="587828"/>
          <a:ext cx="1786283" cy="810838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14000"/>
          </a:srgbClr>
        </a:solidFill>
      </cdr:spPr>
    </cdr:pic>
  </cdr:relSizeAnchor>
  <cdr:relSizeAnchor xmlns:cdr="http://schemas.openxmlformats.org/drawingml/2006/chartDrawing">
    <cdr:from>
      <cdr:x>0</cdr:x>
      <cdr:y>0.16485</cdr:y>
    </cdr:from>
    <cdr:to>
      <cdr:x>0.16624</cdr:x>
      <cdr:y>1</cdr:y>
    </cdr:to>
    <cdr:sp macro="" textlink="">
      <cdr:nvSpPr>
        <cdr:cNvPr id="11" name="Rectangle 10">
          <a:extLst xmlns:a="http://schemas.openxmlformats.org/drawingml/2006/main">
            <a:ext uri="{FF2B5EF4-FFF2-40B4-BE49-F238E27FC236}">
              <a16:creationId xmlns:a16="http://schemas.microsoft.com/office/drawing/2014/main" id="{3AD9496F-6DA3-B5AE-957F-8A0392098F66}"/>
            </a:ext>
          </a:extLst>
        </cdr:cNvPr>
        <cdr:cNvSpPr/>
      </cdr:nvSpPr>
      <cdr:spPr>
        <a:xfrm xmlns:a="http://schemas.openxmlformats.org/drawingml/2006/main">
          <a:off x="0" y="748733"/>
          <a:ext cx="1235985" cy="379317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  <a:alpha val="24000"/>
          </a:scheme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0.16493</cdr:x>
      <cdr:y>0.16382</cdr:y>
    </cdr:from>
    <cdr:to>
      <cdr:x>0.40937</cdr:x>
      <cdr:y>1</cdr:y>
    </cdr:to>
    <cdr:sp macro="" textlink="">
      <cdr:nvSpPr>
        <cdr:cNvPr id="12" name="Rectangle 11">
          <a:extLst xmlns:a="http://schemas.openxmlformats.org/drawingml/2006/main">
            <a:ext uri="{FF2B5EF4-FFF2-40B4-BE49-F238E27FC236}">
              <a16:creationId xmlns:a16="http://schemas.microsoft.com/office/drawing/2014/main" id="{D82B1F97-09C3-6CB7-F341-5BFE03E9B712}"/>
            </a:ext>
          </a:extLst>
        </cdr:cNvPr>
        <cdr:cNvSpPr/>
      </cdr:nvSpPr>
      <cdr:spPr>
        <a:xfrm xmlns:a="http://schemas.openxmlformats.org/drawingml/2006/main">
          <a:off x="1226244" y="744069"/>
          <a:ext cx="1817377" cy="379783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  <a:alpha val="35000"/>
          </a:scheme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0.57971</cdr:x>
      <cdr:y>0.6928</cdr:y>
    </cdr:from>
    <cdr:to>
      <cdr:x>0.84859</cdr:x>
      <cdr:y>0.89017</cdr:y>
    </cdr:to>
    <cdr:sp macro="" textlink="">
      <cdr:nvSpPr>
        <cdr:cNvPr id="13" name="Rectangle 12">
          <a:extLst xmlns:a="http://schemas.openxmlformats.org/drawingml/2006/main">
            <a:ext uri="{FF2B5EF4-FFF2-40B4-BE49-F238E27FC236}">
              <a16:creationId xmlns:a16="http://schemas.microsoft.com/office/drawing/2014/main" id="{2BC79742-4D45-3DD0-2A6A-732392A897A7}"/>
            </a:ext>
          </a:extLst>
        </cdr:cNvPr>
        <cdr:cNvSpPr/>
      </cdr:nvSpPr>
      <cdr:spPr>
        <a:xfrm xmlns:a="http://schemas.openxmlformats.org/drawingml/2006/main">
          <a:off x="4310103" y="3146611"/>
          <a:ext cx="1999130" cy="89647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20000"/>
            <a:lumOff val="80000"/>
            <a:alpha val="23000"/>
          </a:scheme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0.87179</cdr:x>
      <cdr:y>0.13309</cdr:y>
    </cdr:from>
    <cdr:to>
      <cdr:x>0.98913</cdr:x>
      <cdr:y>0.83333</cdr:y>
    </cdr:to>
    <cdr:sp macro="" textlink="">
      <cdr:nvSpPr>
        <cdr:cNvPr id="14" name="Rectangle 13">
          <a:extLst xmlns:a="http://schemas.openxmlformats.org/drawingml/2006/main">
            <a:ext uri="{FF2B5EF4-FFF2-40B4-BE49-F238E27FC236}">
              <a16:creationId xmlns:a16="http://schemas.microsoft.com/office/drawing/2014/main" id="{624F0168-DC83-DE9B-07A2-077E6DFA8D20}"/>
            </a:ext>
          </a:extLst>
        </cdr:cNvPr>
        <cdr:cNvSpPr/>
      </cdr:nvSpPr>
      <cdr:spPr>
        <a:xfrm xmlns:a="http://schemas.openxmlformats.org/drawingml/2006/main">
          <a:off x="6168571" y="617165"/>
          <a:ext cx="830228" cy="3247263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9000"/>
          </a:srgb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0.44136</cdr:x>
      <cdr:y>0.18205</cdr:y>
    </cdr:from>
    <cdr:to>
      <cdr:x>0.85864</cdr:x>
      <cdr:y>0.8914</cdr:y>
    </cdr:to>
    <cdr:sp macro="" textlink="">
      <cdr:nvSpPr>
        <cdr:cNvPr id="15" name="Rectangle 14">
          <a:extLst xmlns:a="http://schemas.openxmlformats.org/drawingml/2006/main">
            <a:ext uri="{FF2B5EF4-FFF2-40B4-BE49-F238E27FC236}">
              <a16:creationId xmlns:a16="http://schemas.microsoft.com/office/drawing/2014/main" id="{BAFEE371-EF4A-F6CD-7F11-240413F966F8}"/>
            </a:ext>
          </a:extLst>
        </cdr:cNvPr>
        <cdr:cNvSpPr/>
      </cdr:nvSpPr>
      <cdr:spPr>
        <a:xfrm xmlns:a="http://schemas.openxmlformats.org/drawingml/2006/main">
          <a:off x="3432003" y="1000825"/>
          <a:ext cx="3244742" cy="389963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20000"/>
            <a:lumOff val="80000"/>
            <a:alpha val="23000"/>
          </a:scheme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0.87224</cdr:x>
      <cdr:y>0.26155</cdr:y>
    </cdr:from>
    <cdr:to>
      <cdr:x>0.98321</cdr:x>
      <cdr:y>0.86898</cdr:y>
    </cdr:to>
    <cdr:sp macro="" textlink="">
      <cdr:nvSpPr>
        <cdr:cNvPr id="16" name="Rectangle 15">
          <a:extLst xmlns:a="http://schemas.openxmlformats.org/drawingml/2006/main">
            <a:ext uri="{FF2B5EF4-FFF2-40B4-BE49-F238E27FC236}">
              <a16:creationId xmlns:a16="http://schemas.microsoft.com/office/drawing/2014/main" id="{869A1BE9-87E9-149C-57AF-1BC68628FDF7}"/>
            </a:ext>
          </a:extLst>
        </cdr:cNvPr>
        <cdr:cNvSpPr/>
      </cdr:nvSpPr>
      <cdr:spPr>
        <a:xfrm xmlns:a="http://schemas.openxmlformats.org/drawingml/2006/main">
          <a:off x="6782563" y="1437856"/>
          <a:ext cx="862852" cy="33393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9000"/>
          </a:srgb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0.04161</cdr:x>
      <cdr:y>0.1355</cdr:y>
    </cdr:from>
    <cdr:to>
      <cdr:x>0.19883</cdr:x>
      <cdr:y>0.85995</cdr:y>
    </cdr:to>
    <cdr:sp macro="" textlink="">
      <cdr:nvSpPr>
        <cdr:cNvPr id="13" name="Rectangle 12">
          <a:extLst xmlns:a="http://schemas.openxmlformats.org/drawingml/2006/main">
            <a:ext uri="{FF2B5EF4-FFF2-40B4-BE49-F238E27FC236}">
              <a16:creationId xmlns:a16="http://schemas.microsoft.com/office/drawing/2014/main" id="{0B371B7B-F6DC-F140-D2D0-4A731A03A8BD}"/>
            </a:ext>
          </a:extLst>
        </cdr:cNvPr>
        <cdr:cNvSpPr/>
      </cdr:nvSpPr>
      <cdr:spPr>
        <a:xfrm xmlns:a="http://schemas.openxmlformats.org/drawingml/2006/main">
          <a:off x="437666" y="949290"/>
          <a:ext cx="1653688" cy="507537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  <a:alpha val="24000"/>
          </a:scheme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0.20502</cdr:x>
      <cdr:y>0.18613</cdr:y>
    </cdr:from>
    <cdr:to>
      <cdr:x>0.4428</cdr:x>
      <cdr:y>0.89093</cdr:y>
    </cdr:to>
    <cdr:sp macro="" textlink="">
      <cdr:nvSpPr>
        <cdr:cNvPr id="14" name="Rectangle 13">
          <a:extLst xmlns:a="http://schemas.openxmlformats.org/drawingml/2006/main">
            <a:ext uri="{FF2B5EF4-FFF2-40B4-BE49-F238E27FC236}">
              <a16:creationId xmlns:a16="http://schemas.microsoft.com/office/drawing/2014/main" id="{3C8A9A3B-4854-CF46-2ED4-BFE402392C61}"/>
            </a:ext>
          </a:extLst>
        </cdr:cNvPr>
        <cdr:cNvSpPr/>
      </cdr:nvSpPr>
      <cdr:spPr>
        <a:xfrm xmlns:a="http://schemas.openxmlformats.org/drawingml/2006/main">
          <a:off x="1594239" y="1023238"/>
          <a:ext cx="1848970" cy="387461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  <a:alpha val="35000"/>
          </a:schemeClr>
        </a:solidFill>
        <a:ln xmlns:a="http://schemas.openxmlformats.org/drawingml/2006/main" w="6350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0.65261</cdr:x>
      <cdr:y>0.17914</cdr:y>
    </cdr:from>
    <cdr:to>
      <cdr:x>0.76766</cdr:x>
      <cdr:y>0.34266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A40D0CC-2A12-7B81-C676-85EBD2ED1882}"/>
            </a:ext>
          </a:extLst>
        </cdr:cNvPr>
        <cdr:cNvSpPr txBox="1"/>
      </cdr:nvSpPr>
      <cdr:spPr>
        <a:xfrm xmlns:a="http://schemas.openxmlformats.org/drawingml/2006/main">
          <a:off x="5187070" y="10018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0.32734</cdr:x>
      <cdr:y>0.4687</cdr:y>
    </cdr:from>
    <cdr:to>
      <cdr:x>0.44238</cdr:x>
      <cdr:y>0.63222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DE213F2-10CA-1D51-3DDE-956A69FC88F5}"/>
            </a:ext>
          </a:extLst>
        </cdr:cNvPr>
        <cdr:cNvSpPr txBox="1"/>
      </cdr:nvSpPr>
      <cdr:spPr>
        <a:xfrm xmlns:a="http://schemas.openxmlformats.org/drawingml/2006/main">
          <a:off x="2601713" y="2621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0.22804</cdr:x>
      <cdr:y>0.77043</cdr:y>
    </cdr:from>
    <cdr:to>
      <cdr:x>0.46429</cdr:x>
      <cdr:y>0.91642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5183009-A3E2-B0E0-91C7-BDA1F4A0B7A7}"/>
            </a:ext>
          </a:extLst>
        </cdr:cNvPr>
        <cdr:cNvSpPr txBox="1"/>
      </cdr:nvSpPr>
      <cdr:spPr>
        <a:xfrm xmlns:a="http://schemas.openxmlformats.org/drawingml/2006/main">
          <a:off x="1812498" y="4308335"/>
          <a:ext cx="1877786" cy="8164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0.0791</cdr:x>
      <cdr:y>0.09641</cdr:y>
    </cdr:from>
    <cdr:to>
      <cdr:x>0.19414</cdr:x>
      <cdr:y>0.25993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2CBD952-266D-1032-11ED-6EC8D64B8D58}"/>
            </a:ext>
          </a:extLst>
        </cdr:cNvPr>
        <cdr:cNvSpPr txBox="1"/>
      </cdr:nvSpPr>
      <cdr:spPr>
        <a:xfrm xmlns:a="http://schemas.openxmlformats.org/drawingml/2006/main">
          <a:off x="628676" y="53915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0.12532</cdr:x>
      <cdr:y>0.10615</cdr:y>
    </cdr:from>
    <cdr:to>
      <cdr:x>0.24037</cdr:x>
      <cdr:y>0.26966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3BB49E4-6879-B4F1-D259-FEF78252A2A1}"/>
            </a:ext>
          </a:extLst>
        </cdr:cNvPr>
        <cdr:cNvSpPr txBox="1"/>
      </cdr:nvSpPr>
      <cdr:spPr>
        <a:xfrm xmlns:a="http://schemas.openxmlformats.org/drawingml/2006/main">
          <a:off x="996068" y="59358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0.44248</cdr:x>
      <cdr:y>0.41824</cdr:y>
    </cdr:from>
    <cdr:to>
      <cdr:x>0.55752</cdr:x>
      <cdr:y>0.58176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F788CB44-4EB7-FC3A-77F1-AA98D4ABDE5C}"/>
            </a:ext>
          </a:extLst>
        </cdr:cNvPr>
        <cdr:cNvSpPr txBox="1"/>
      </cdr:nvSpPr>
      <cdr:spPr>
        <a:xfrm xmlns:a="http://schemas.openxmlformats.org/drawingml/2006/main">
          <a:off x="3516882" y="233886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0.09101</cdr:x>
      <cdr:y>0.06352</cdr:y>
    </cdr:from>
    <cdr:to>
      <cdr:x>0.26955</cdr:x>
      <cdr:y>0.18326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78380657-E88D-6483-C4E7-5DB568A559ED}"/>
            </a:ext>
          </a:extLst>
        </cdr:cNvPr>
        <cdr:cNvSpPr txBox="1"/>
      </cdr:nvSpPr>
      <cdr:spPr>
        <a:xfrm xmlns:a="http://schemas.openxmlformats.org/drawingml/2006/main">
          <a:off x="680896" y="339572"/>
          <a:ext cx="1335756" cy="64014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  <a:alpha val="67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l-GR" sz="2000" b="0" i="0" u="none" strike="noStrike" baseline="0">
              <a:effectLst/>
              <a:latin typeface="+mn-lt"/>
              <a:ea typeface="+mn-ea"/>
              <a:cs typeface="+mn-cs"/>
            </a:rPr>
            <a:t>η </a:t>
          </a:r>
          <a:r>
            <a:rPr lang="el-GR" sz="1100" b="0" i="0" u="none" strike="noStrike">
              <a:effectLst/>
              <a:latin typeface="+mn-lt"/>
              <a:ea typeface="+mn-ea"/>
              <a:cs typeface="+mn-cs"/>
            </a:rPr>
            <a:t>(</a:t>
          </a:r>
          <a:r>
            <a:rPr lang="el-GR" sz="1100" b="0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Δ</a:t>
          </a:r>
          <a:r>
            <a:rPr lang="en-US" sz="1100" b="0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CAC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 &gt; 10):  </a:t>
          </a:r>
        </a:p>
        <a:p xmlns:a="http://schemas.openxmlformats.org/drawingml/2006/main"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17 participants</a:t>
          </a: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0.74831</cdr:x>
      <cdr:y>0.17186</cdr:y>
    </cdr:from>
    <cdr:to>
      <cdr:x>0.9699</cdr:x>
      <cdr:y>0.32678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7E94EFF7-2CDA-807D-3BA0-6AB0A3805382}"/>
            </a:ext>
          </a:extLst>
        </cdr:cNvPr>
        <cdr:cNvSpPr txBox="1"/>
      </cdr:nvSpPr>
      <cdr:spPr>
        <a:xfrm xmlns:a="http://schemas.openxmlformats.org/drawingml/2006/main">
          <a:off x="5818856" y="944797"/>
          <a:ext cx="1723069" cy="85164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41000"/>
          </a:srgb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l-GR" sz="2000" b="0" i="0" u="none" strike="noStrike" baseline="0">
              <a:effectLst/>
              <a:latin typeface="+mn-lt"/>
              <a:ea typeface="+mn-ea"/>
              <a:cs typeface="+mn-cs"/>
            </a:rPr>
            <a:t>ζ </a:t>
          </a:r>
          <a:r>
            <a:rPr lang="el-GR" sz="1100" b="0" i="0" u="none" strike="noStrike" baseline="0">
              <a:effectLst/>
              <a:latin typeface="+mn-lt"/>
              <a:ea typeface="+mn-ea"/>
              <a:cs typeface="+mn-cs"/>
            </a:rPr>
            <a:t>(</a:t>
          </a:r>
          <a:r>
            <a:rPr lang="en-US" sz="1100" b="0" i="0" u="none" strike="noStrike" baseline="0">
              <a:effectLst/>
              <a:latin typeface="+mn-lt"/>
              <a:ea typeface="+mn-ea"/>
              <a:cs typeface="+mn-cs"/>
            </a:rPr>
            <a:t>CAC &lt;= 0 and TPS &lt;= 0): </a:t>
          </a:r>
        </a:p>
        <a:p xmlns:a="http://schemas.openxmlformats.org/drawingml/2006/main">
          <a:pPr algn="r"/>
          <a:r>
            <a:rPr lang="en-US" sz="1100" b="0" i="0" u="none" strike="noStrike" baseline="0">
              <a:effectLst/>
              <a:latin typeface="+mn-lt"/>
              <a:ea typeface="+mn-ea"/>
              <a:cs typeface="+mn-cs"/>
            </a:rPr>
            <a:t>12 participants</a:t>
          </a:r>
        </a:p>
        <a:p xmlns:a="http://schemas.openxmlformats.org/drawingml/2006/main">
          <a:pPr algn="r"/>
          <a:r>
            <a:rPr lang="en-US" sz="1100" b="0" i="0" u="none" strike="noStrike" kern="1200" baseline="0">
              <a:effectLst/>
              <a:latin typeface="+mn-lt"/>
              <a:ea typeface="+mn-ea"/>
              <a:cs typeface="+mn-cs"/>
            </a:rPr>
            <a:t>plaque decrease (unicorns)</a:t>
          </a:r>
        </a:p>
      </cdr:txBody>
    </cdr:sp>
  </cdr:relSizeAnchor>
  <cdr:relSizeAnchor xmlns:cdr="http://schemas.openxmlformats.org/drawingml/2006/chartDrawing">
    <cdr:from>
      <cdr:x>0.59269</cdr:x>
      <cdr:y>0.61227</cdr:y>
    </cdr:from>
    <cdr:to>
      <cdr:x>0.778</cdr:x>
      <cdr:y>0.74525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026769F1-2C3F-BD40-D705-F0E4C2F1ECC5}"/>
            </a:ext>
          </a:extLst>
        </cdr:cNvPr>
        <cdr:cNvSpPr txBox="1"/>
      </cdr:nvSpPr>
      <cdr:spPr>
        <a:xfrm xmlns:a="http://schemas.openxmlformats.org/drawingml/2006/main">
          <a:off x="4434240" y="3174339"/>
          <a:ext cx="1386406" cy="68944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  <a:alpha val="69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l-GR" sz="2000" b="0" i="0" u="none" strike="noStrike" baseline="0">
              <a:effectLst/>
              <a:latin typeface="+mn-lt"/>
              <a:ea typeface="+mn-ea"/>
              <a:cs typeface="+mn-cs"/>
            </a:rPr>
            <a:t>γ </a:t>
          </a:r>
          <a:r>
            <a:rPr lang="el-GR" sz="1100" b="0" i="0" u="none" strike="noStrike">
              <a:effectLst/>
              <a:latin typeface="+mn-lt"/>
              <a:ea typeface="+mn-ea"/>
              <a:cs typeface="+mn-cs"/>
            </a:rPr>
            <a:t>(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zero CAC in </a:t>
          </a:r>
          <a:r>
            <a:rPr lang="el-GR" sz="1100" b="0" i="0" u="none" strike="noStrike">
              <a:effectLst/>
              <a:latin typeface="+mn-lt"/>
              <a:ea typeface="+mn-ea"/>
              <a:cs typeface="+mn-cs"/>
            </a:rPr>
            <a:t>α):</a:t>
          </a:r>
          <a:endParaRPr lang="en-US" sz="1100" b="0" i="0" u="none" strike="noStrike">
            <a:effectLst/>
            <a:latin typeface="+mn-lt"/>
            <a:ea typeface="+mn-ea"/>
            <a:cs typeface="+mn-cs"/>
          </a:endParaRPr>
        </a:p>
        <a:p xmlns:a="http://schemas.openxmlformats.org/drawingml/2006/main">
          <a:r>
            <a:rPr lang="el-GR" sz="1100" b="0" i="0" u="none" strike="noStrike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48</a:t>
          </a:r>
          <a:r>
            <a:rPr lang="en-US" sz="1100" b="0" i="0" u="none" strike="noStrike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participants</a:t>
          </a:r>
          <a:endParaRPr lang="en-US" sz="1100" kern="1200"/>
        </a:p>
      </cdr:txBody>
    </cdr:sp>
  </cdr:relSizeAnchor>
  <cdr:relSizeAnchor xmlns:cdr="http://schemas.openxmlformats.org/drawingml/2006/chartDrawing">
    <cdr:from>
      <cdr:x>0.32577</cdr:x>
      <cdr:y>0.49776</cdr:y>
    </cdr:from>
    <cdr:to>
      <cdr:x>0.53858</cdr:x>
      <cdr:y>0.61266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232713F9-2BB8-8296-16F4-774249260CA1}"/>
            </a:ext>
          </a:extLst>
        </cdr:cNvPr>
        <cdr:cNvSpPr txBox="1"/>
      </cdr:nvSpPr>
      <cdr:spPr>
        <a:xfrm xmlns:a="http://schemas.openxmlformats.org/drawingml/2006/main">
          <a:off x="2533206" y="2736446"/>
          <a:ext cx="1654756" cy="63165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20000"/>
            <a:lumOff val="80000"/>
            <a:alpha val="76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2000" b="0" i="0" u="none" strike="noStrike" baseline="0">
              <a:effectLst/>
              <a:latin typeface="+mn-lt"/>
              <a:ea typeface="+mn-ea"/>
              <a:cs typeface="+mn-cs"/>
            </a:rPr>
            <a:t>θ</a:t>
          </a:r>
          <a:r>
            <a:rPr lang="el-GR" sz="1100" b="0" i="0" u="none" strike="noStrike">
              <a:effectLst/>
              <a:latin typeface="+mn-lt"/>
              <a:ea typeface="+mn-ea"/>
              <a:cs typeface="+mn-cs"/>
            </a:rPr>
            <a:t>(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small increase ≤ 10):</a:t>
          </a:r>
        </a:p>
        <a:p xmlns:a="http://schemas.openxmlformats.org/drawingml/2006/main"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23 participants</a:t>
          </a:r>
          <a:endParaRPr lang="en-US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187037</xdr:colOff>
      <xdr:row>3</xdr:row>
      <xdr:rowOff>8660</xdr:rowOff>
    </xdr:from>
    <xdr:to>
      <xdr:col>10</xdr:col>
      <xdr:colOff>491837</xdr:colOff>
      <xdr:row>18</xdr:row>
      <xdr:rowOff>8659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1EDC5-76CA-2413-F9AC-2B9713F8B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200891</xdr:colOff>
      <xdr:row>3</xdr:row>
      <xdr:rowOff>0</xdr:rowOff>
    </xdr:from>
    <xdr:to>
      <xdr:col>22</xdr:col>
      <xdr:colOff>505691</xdr:colOff>
      <xdr:row>18</xdr:row>
      <xdr:rowOff>41563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F1BFCF-3DE2-1A4B-F2E2-DA2201E12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588818</xdr:colOff>
      <xdr:row>16</xdr:row>
      <xdr:rowOff>55418</xdr:rowOff>
    </xdr:from>
    <xdr:to>
      <xdr:col>34</xdr:col>
      <xdr:colOff>284018</xdr:colOff>
      <xdr:row>31</xdr:row>
      <xdr:rowOff>96981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6F631B-24F2-04FC-652E-B36166F79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151178</xdr:colOff>
      <xdr:row>3</xdr:row>
      <xdr:rowOff>64384</xdr:rowOff>
    </xdr:from>
    <xdr:to>
      <xdr:col>47</xdr:col>
      <xdr:colOff>456793</xdr:colOff>
      <xdr:row>18</xdr:row>
      <xdr:rowOff>118987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D7FD41-720D-8CDD-3046-54B4BAB50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132789</xdr:colOff>
      <xdr:row>3</xdr:row>
      <xdr:rowOff>35859</xdr:rowOff>
    </xdr:from>
    <xdr:to>
      <xdr:col>59</xdr:col>
      <xdr:colOff>437589</xdr:colOff>
      <xdr:row>17</xdr:row>
      <xdr:rowOff>100852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42B374-B06A-7242-DB3D-63DCEAA61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182880</xdr:colOff>
      <xdr:row>3</xdr:row>
      <xdr:rowOff>91440</xdr:rowOff>
    </xdr:from>
    <xdr:to>
      <xdr:col>73</xdr:col>
      <xdr:colOff>487680</xdr:colOff>
      <xdr:row>18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8A2F64-77EF-5347-AE32-DFD3B8F34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78</xdr:col>
      <xdr:colOff>300644</xdr:colOff>
      <xdr:row>2</xdr:row>
      <xdr:rowOff>152400</xdr:rowOff>
    </xdr:from>
    <xdr:to>
      <xdr:col>86</xdr:col>
      <xdr:colOff>4157</xdr:colOff>
      <xdr:row>18</xdr:row>
      <xdr:rowOff>13855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2B0C4C-A042-3AE1-A988-538792CAD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90</xdr:col>
      <xdr:colOff>195943</xdr:colOff>
      <xdr:row>2</xdr:row>
      <xdr:rowOff>168728</xdr:rowOff>
    </xdr:from>
    <xdr:to>
      <xdr:col>97</xdr:col>
      <xdr:colOff>500743</xdr:colOff>
      <xdr:row>17</xdr:row>
      <xdr:rowOff>136071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638BAD-386D-6E46-A66E-C882E44D9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185058</xdr:colOff>
      <xdr:row>2</xdr:row>
      <xdr:rowOff>179615</xdr:rowOff>
    </xdr:from>
    <xdr:to>
      <xdr:col>35</xdr:col>
      <xdr:colOff>489858</xdr:colOff>
      <xdr:row>17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8BD01-CE22-6C76-652A-E799F01C6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239486</xdr:colOff>
      <xdr:row>33</xdr:row>
      <xdr:rowOff>179614</xdr:rowOff>
    </xdr:from>
    <xdr:to>
      <xdr:col>35</xdr:col>
      <xdr:colOff>544286</xdr:colOff>
      <xdr:row>48</xdr:row>
      <xdr:rowOff>146957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6BF29-2BDE-F4A0-D18E-72712F959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460459</xdr:colOff>
      <xdr:row>8</xdr:row>
      <xdr:rowOff>158921</xdr:rowOff>
    </xdr:from>
    <xdr:to>
      <xdr:col>22</xdr:col>
      <xdr:colOff>215152</xdr:colOff>
      <xdr:row>29</xdr:row>
      <xdr:rowOff>91441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9ADD3E-8541-A35F-D1D3-480E77436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440716</xdr:colOff>
      <xdr:row>29</xdr:row>
      <xdr:rowOff>99000</xdr:rowOff>
    </xdr:from>
    <xdr:to>
      <xdr:col>22</xdr:col>
      <xdr:colOff>219378</xdr:colOff>
      <xdr:row>50</xdr:row>
      <xdr:rowOff>21331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3F709-5EF9-13B9-95BA-3ED076FD5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228600</xdr:colOff>
      <xdr:row>3</xdr:row>
      <xdr:rowOff>41564</xdr:rowOff>
    </xdr:from>
    <xdr:to>
      <xdr:col>50</xdr:col>
      <xdr:colOff>533400</xdr:colOff>
      <xdr:row>18</xdr:row>
      <xdr:rowOff>83127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6FACA-3342-9B6B-4EC1-7A8247464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311728</xdr:colOff>
      <xdr:row>3</xdr:row>
      <xdr:rowOff>50528</xdr:rowOff>
    </xdr:from>
    <xdr:to>
      <xdr:col>64</xdr:col>
      <xdr:colOff>6928</xdr:colOff>
      <xdr:row>18</xdr:row>
      <xdr:rowOff>105130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8D1781-75FA-326A-8153-583C2E16A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176092</xdr:colOff>
      <xdr:row>3</xdr:row>
      <xdr:rowOff>127428</xdr:rowOff>
    </xdr:from>
    <xdr:to>
      <xdr:col>74</xdr:col>
      <xdr:colOff>480892</xdr:colOff>
      <xdr:row>18</xdr:row>
      <xdr:rowOff>181215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44A7A9-088B-808F-AC7B-914C2C5A1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80</xdr:col>
      <xdr:colOff>195399</xdr:colOff>
      <xdr:row>4</xdr:row>
      <xdr:rowOff>58239</xdr:rowOff>
    </xdr:from>
    <xdr:to>
      <xdr:col>87</xdr:col>
      <xdr:colOff>500199</xdr:colOff>
      <xdr:row>19</xdr:row>
      <xdr:rowOff>25582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D89BF8-ED2C-981C-5DF0-EC99C7129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92</xdr:col>
      <xdr:colOff>165033</xdr:colOff>
      <xdr:row>3</xdr:row>
      <xdr:rowOff>75792</xdr:rowOff>
    </xdr:from>
    <xdr:to>
      <xdr:col>99</xdr:col>
      <xdr:colOff>469833</xdr:colOff>
      <xdr:row>18</xdr:row>
      <xdr:rowOff>116540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00E912-22F7-CC68-5DD2-9A8B6C149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103</xdr:col>
      <xdr:colOff>200892</xdr:colOff>
      <xdr:row>4</xdr:row>
      <xdr:rowOff>27709</xdr:rowOff>
    </xdr:from>
    <xdr:to>
      <xdr:col>110</xdr:col>
      <xdr:colOff>505692</xdr:colOff>
      <xdr:row>23</xdr:row>
      <xdr:rowOff>89647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B394E3-CB57-C665-D972-08FDE069F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115</xdr:col>
      <xdr:colOff>228600</xdr:colOff>
      <xdr:row>3</xdr:row>
      <xdr:rowOff>8966</xdr:rowOff>
    </xdr:from>
    <xdr:to>
      <xdr:col>122</xdr:col>
      <xdr:colOff>526473</xdr:colOff>
      <xdr:row>24</xdr:row>
      <xdr:rowOff>108857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23939F-2F5B-171B-E8D5-94143F018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127</xdr:col>
      <xdr:colOff>117763</xdr:colOff>
      <xdr:row>3</xdr:row>
      <xdr:rowOff>96981</xdr:rowOff>
    </xdr:from>
    <xdr:to>
      <xdr:col>135</xdr:col>
      <xdr:colOff>413656</xdr:colOff>
      <xdr:row>21</xdr:row>
      <xdr:rowOff>65314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2FCD1D-A890-6664-9F7A-C43816B9B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139</xdr:col>
      <xdr:colOff>221775</xdr:colOff>
      <xdr:row>3</xdr:row>
      <xdr:rowOff>10236</xdr:rowOff>
    </xdr:from>
    <xdr:to>
      <xdr:col>146</xdr:col>
      <xdr:colOff>494731</xdr:colOff>
      <xdr:row>18</xdr:row>
      <xdr:rowOff>23883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92C4444-A13E-4331-55A2-A258CDE70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151</xdr:col>
      <xdr:colOff>174170</xdr:colOff>
      <xdr:row>3</xdr:row>
      <xdr:rowOff>38101</xdr:rowOff>
    </xdr:from>
    <xdr:to>
      <xdr:col>158</xdr:col>
      <xdr:colOff>478970</xdr:colOff>
      <xdr:row>18</xdr:row>
      <xdr:rowOff>5443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D59E352-7C93-F7D6-F1E4-1033CD27F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161</xdr:col>
      <xdr:colOff>16008</xdr:colOff>
      <xdr:row>27</xdr:row>
      <xdr:rowOff>8646</xdr:rowOff>
    </xdr:from>
    <xdr:to>
      <xdr:col>167</xdr:col>
      <xdr:colOff>464244</xdr:colOff>
      <xdr:row>41</xdr:row>
      <xdr:rowOff>155283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D56E127-0DB4-51DA-6A8F-E475EF814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172</xdr:col>
      <xdr:colOff>195943</xdr:colOff>
      <xdr:row>3</xdr:row>
      <xdr:rowOff>5443</xdr:rowOff>
    </xdr:from>
    <xdr:to>
      <xdr:col>179</xdr:col>
      <xdr:colOff>500743</xdr:colOff>
      <xdr:row>17</xdr:row>
      <xdr:rowOff>157843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8BBD7B2-BAFC-EAEE-0A1F-7C2F2030F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183</xdr:col>
      <xdr:colOff>272143</xdr:colOff>
      <xdr:row>3</xdr:row>
      <xdr:rowOff>114300</xdr:rowOff>
    </xdr:from>
    <xdr:to>
      <xdr:col>190</xdr:col>
      <xdr:colOff>576943</xdr:colOff>
      <xdr:row>18</xdr:row>
      <xdr:rowOff>81642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4AD2BCB-E815-C48E-A18F-E125B30D2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3</xdr:row>
      <xdr:rowOff>95250</xdr:rowOff>
    </xdr:from>
    <xdr:to>
      <xdr:col>10</xdr:col>
      <xdr:colOff>480060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A3D75-6C52-ACC5-F3A8-1E3614FF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3</xdr:row>
      <xdr:rowOff>11430</xdr:rowOff>
    </xdr:from>
    <xdr:to>
      <xdr:col>12</xdr:col>
      <xdr:colOff>53340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1BDB3-75FE-DB61-C505-94FA87F7A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220980</xdr:colOff>
      <xdr:row>2</xdr:row>
      <xdr:rowOff>72390</xdr:rowOff>
    </xdr:from>
    <xdr:to>
      <xdr:col>24</xdr:col>
      <xdr:colOff>225972</xdr:colOff>
      <xdr:row>18</xdr:row>
      <xdr:rowOff>78827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534B90-E2F0-F004-FB45-E53F3AF24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60960</xdr:colOff>
      <xdr:row>2</xdr:row>
      <xdr:rowOff>34290</xdr:rowOff>
    </xdr:from>
    <xdr:to>
      <xdr:col>35</xdr:col>
      <xdr:colOff>365760</xdr:colOff>
      <xdr:row>25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B57E52-72A9-7E7E-BF86-E4DA3E01E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244025</xdr:colOff>
      <xdr:row>2</xdr:row>
      <xdr:rowOff>68018</xdr:rowOff>
    </xdr:from>
    <xdr:to>
      <xdr:col>50</xdr:col>
      <xdr:colOff>596724</xdr:colOff>
      <xdr:row>19</xdr:row>
      <xdr:rowOff>15766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4ED937-FE0A-C569-B68B-A315FC615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178479</xdr:colOff>
      <xdr:row>19</xdr:row>
      <xdr:rowOff>114097</xdr:rowOff>
    </xdr:from>
    <xdr:to>
      <xdr:col>50</xdr:col>
      <xdr:colOff>581891</xdr:colOff>
      <xdr:row>39</xdr:row>
      <xdr:rowOff>95943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987962-2FA4-D2C3-3E72-32E0280B8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159327</xdr:colOff>
      <xdr:row>66</xdr:row>
      <xdr:rowOff>180108</xdr:rowOff>
    </xdr:from>
    <xdr:to>
      <xdr:col>53</xdr:col>
      <xdr:colOff>464127</xdr:colOff>
      <xdr:row>82</xdr:row>
      <xdr:rowOff>41563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7F7B3E-69D4-BA89-9418-96936918F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b1b0756734b14e9/KETO-CTA-DATA-JAE%20(Recovered).xlsx" TargetMode="External"/><Relationship Id="rId1" Type="http://schemas.openxmlformats.org/officeDocument/2006/relationships/externalLinkPath" Target="https://d.docs.live.net/bb1b0756734b14e9/KETO-CTA-DATA-JAE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data"/>
      <sheetName val="Working data"/>
      <sheetName val="Sheet3"/>
      <sheetName val="Sheet4"/>
    </sheetNames>
    <sheetDataSet>
      <sheetData sheetId="0" refreshError="1"/>
      <sheetData sheetId="1">
        <row r="1">
          <cell r="S1" t="str">
            <v>ln ∆NCPV 2</v>
          </cell>
          <cell r="T1" t="str">
            <v>ln ∆CAC2</v>
          </cell>
          <cell r="V1" t="str">
            <v>scaled ∆CAC; Plus, Zero, or Minus</v>
          </cell>
        </row>
        <row r="2">
          <cell r="S2">
            <v>4.9037921984782065</v>
          </cell>
          <cell r="T2">
            <v>5.3612921657094255</v>
          </cell>
          <cell r="V2">
            <v>1</v>
          </cell>
        </row>
        <row r="3">
          <cell r="S3">
            <v>3.4904285153900978</v>
          </cell>
          <cell r="T3">
            <v>4.3694478524670215</v>
          </cell>
          <cell r="V3">
            <v>1</v>
          </cell>
        </row>
        <row r="4">
          <cell r="S4">
            <v>4.3280982926483258</v>
          </cell>
          <cell r="T4">
            <v>4.0604430105464191</v>
          </cell>
          <cell r="V4">
            <v>1</v>
          </cell>
        </row>
        <row r="5">
          <cell r="S5">
            <v>3.9019726695746448</v>
          </cell>
          <cell r="T5">
            <v>3.9318256327243257</v>
          </cell>
          <cell r="V5">
            <v>1</v>
          </cell>
        </row>
        <row r="6">
          <cell r="S6">
            <v>4.1573193613834887</v>
          </cell>
          <cell r="T6">
            <v>3.784189633918261</v>
          </cell>
          <cell r="V6">
            <v>1</v>
          </cell>
        </row>
        <row r="7">
          <cell r="S7">
            <v>4.0910056609565864</v>
          </cell>
          <cell r="T7">
            <v>3.6109179126442243</v>
          </cell>
          <cell r="V7">
            <v>1</v>
          </cell>
        </row>
        <row r="8">
          <cell r="S8">
            <v>5.0556086597389864</v>
          </cell>
          <cell r="T8">
            <v>3.5835189384561099</v>
          </cell>
          <cell r="V8">
            <v>1</v>
          </cell>
        </row>
        <row r="9">
          <cell r="S9">
            <v>4.7361984483944948</v>
          </cell>
          <cell r="T9">
            <v>3.4657359027997265</v>
          </cell>
          <cell r="V9">
            <v>1</v>
          </cell>
        </row>
        <row r="10">
          <cell r="S10">
            <v>4.489759334476763</v>
          </cell>
          <cell r="T10">
            <v>3.4657359027997265</v>
          </cell>
          <cell r="V10">
            <v>1</v>
          </cell>
        </row>
        <row r="11">
          <cell r="S11">
            <v>2.5336968139574321</v>
          </cell>
          <cell r="T11">
            <v>3.4657359027997265</v>
          </cell>
          <cell r="V11">
            <v>1</v>
          </cell>
        </row>
        <row r="12">
          <cell r="S12">
            <v>2.6532419646072141</v>
          </cell>
          <cell r="T12">
            <v>3.3672958299864741</v>
          </cell>
          <cell r="V12">
            <v>1</v>
          </cell>
        </row>
        <row r="13">
          <cell r="S13">
            <v>4.7273878187123408</v>
          </cell>
          <cell r="T13">
            <v>3.3322045101752038</v>
          </cell>
          <cell r="V13">
            <v>1</v>
          </cell>
        </row>
        <row r="14">
          <cell r="S14">
            <v>2.9177707320842794</v>
          </cell>
          <cell r="T14">
            <v>2.9444389791664403</v>
          </cell>
          <cell r="V14">
            <v>1</v>
          </cell>
        </row>
        <row r="15">
          <cell r="S15">
            <v>4.4659081186545837</v>
          </cell>
          <cell r="T15">
            <v>2.8332133440562162</v>
          </cell>
          <cell r="V15">
            <v>1</v>
          </cell>
        </row>
        <row r="16">
          <cell r="S16">
            <v>1.9878743481543459</v>
          </cell>
          <cell r="T16">
            <v>2.7080502011022101</v>
          </cell>
          <cell r="V16">
            <v>1</v>
          </cell>
        </row>
        <row r="17">
          <cell r="S17">
            <v>4.2456340097683274</v>
          </cell>
          <cell r="T17">
            <v>2.5649493574615367</v>
          </cell>
          <cell r="V17">
            <v>1</v>
          </cell>
        </row>
        <row r="18">
          <cell r="S18">
            <v>3.8836235309064486</v>
          </cell>
          <cell r="T18">
            <v>2.5649493574615367</v>
          </cell>
          <cell r="V18">
            <v>1</v>
          </cell>
        </row>
        <row r="19">
          <cell r="S19">
            <v>2.7343675094195841</v>
          </cell>
          <cell r="T19">
            <v>2.3978952727983707</v>
          </cell>
          <cell r="V19">
            <v>1</v>
          </cell>
        </row>
        <row r="20">
          <cell r="S20">
            <v>2.3702437414678608</v>
          </cell>
          <cell r="T20">
            <v>2.3978952727983707</v>
          </cell>
          <cell r="V20">
            <v>1</v>
          </cell>
        </row>
        <row r="21">
          <cell r="S21">
            <v>2.4336133554004498</v>
          </cell>
          <cell r="T21">
            <v>2.1972245773362196</v>
          </cell>
          <cell r="V21">
            <v>1</v>
          </cell>
        </row>
        <row r="22">
          <cell r="S22">
            <v>4.1271343850450917</v>
          </cell>
          <cell r="T22">
            <v>2.0794415416798357</v>
          </cell>
          <cell r="V22">
            <v>1</v>
          </cell>
        </row>
        <row r="23">
          <cell r="S23">
            <v>4.2253728246285043</v>
          </cell>
          <cell r="T23">
            <v>1.791759469228055</v>
          </cell>
          <cell r="V23">
            <v>1</v>
          </cell>
        </row>
        <row r="24">
          <cell r="S24">
            <v>3.929862923556477</v>
          </cell>
          <cell r="T24">
            <v>1.791759469228055</v>
          </cell>
          <cell r="V24">
            <v>1</v>
          </cell>
        </row>
        <row r="25">
          <cell r="S25">
            <v>3.4436180975461079</v>
          </cell>
          <cell r="T25">
            <v>1.791759469228055</v>
          </cell>
          <cell r="V25">
            <v>1</v>
          </cell>
        </row>
        <row r="26">
          <cell r="S26">
            <v>2.4680995314716201</v>
          </cell>
          <cell r="T26">
            <v>1.791759469228055</v>
          </cell>
          <cell r="V26">
            <v>1</v>
          </cell>
        </row>
        <row r="27">
          <cell r="S27">
            <v>3.9589065913269965</v>
          </cell>
          <cell r="T27">
            <v>1.6094379124341003</v>
          </cell>
          <cell r="V27">
            <v>1</v>
          </cell>
        </row>
        <row r="28">
          <cell r="S28">
            <v>2.7212954278522301</v>
          </cell>
          <cell r="T28">
            <v>1.6094379124341003</v>
          </cell>
          <cell r="V28">
            <v>1</v>
          </cell>
        </row>
        <row r="29">
          <cell r="S29">
            <v>1.2237754316221152</v>
          </cell>
          <cell r="T29">
            <v>1.6094379124341003</v>
          </cell>
          <cell r="V29">
            <v>1</v>
          </cell>
        </row>
        <row r="30">
          <cell r="S30">
            <v>3.7232808808312687</v>
          </cell>
          <cell r="T30">
            <v>1.3862943611198906</v>
          </cell>
          <cell r="V30">
            <v>1</v>
          </cell>
        </row>
        <row r="31">
          <cell r="S31">
            <v>4.39197696552705</v>
          </cell>
          <cell r="T31">
            <v>1.0986122886681098</v>
          </cell>
          <cell r="V31">
            <v>0.66666666666666663</v>
          </cell>
        </row>
        <row r="32">
          <cell r="S32">
            <v>4.0395363257271057</v>
          </cell>
          <cell r="T32">
            <v>1.0986122886681098</v>
          </cell>
          <cell r="V32">
            <v>0.66666666666666663</v>
          </cell>
        </row>
        <row r="33">
          <cell r="S33">
            <v>3.6136169696133895</v>
          </cell>
          <cell r="T33">
            <v>1.0986122886681098</v>
          </cell>
          <cell r="V33">
            <v>0.66666666666666663</v>
          </cell>
        </row>
        <row r="34">
          <cell r="S34">
            <v>2.906901059847375</v>
          </cell>
          <cell r="T34">
            <v>1.0986122886681098</v>
          </cell>
          <cell r="V34">
            <v>0.66666666666666663</v>
          </cell>
        </row>
        <row r="35">
          <cell r="S35">
            <v>4.6111522576656387</v>
          </cell>
          <cell r="T35">
            <v>0.69314718055994529</v>
          </cell>
          <cell r="V35">
            <v>0.33333333333333331</v>
          </cell>
        </row>
        <row r="36">
          <cell r="S36">
            <v>4.4461744544976334</v>
          </cell>
          <cell r="T36">
            <v>0.69314718055994529</v>
          </cell>
          <cell r="V36">
            <v>0.33333333333333331</v>
          </cell>
        </row>
        <row r="37">
          <cell r="S37">
            <v>3.5667118201397288</v>
          </cell>
          <cell r="T37">
            <v>0.69314718055994529</v>
          </cell>
          <cell r="V37">
            <v>0.33333333333333331</v>
          </cell>
        </row>
        <row r="38">
          <cell r="S38">
            <v>3.2542429687054923</v>
          </cell>
          <cell r="T38">
            <v>0.69314718055994529</v>
          </cell>
          <cell r="V38">
            <v>0.33333333333333331</v>
          </cell>
        </row>
        <row r="39">
          <cell r="S39">
            <v>2.6741486494265287</v>
          </cell>
          <cell r="T39">
            <v>0.69314718055994529</v>
          </cell>
          <cell r="V39">
            <v>0.33333333333333331</v>
          </cell>
        </row>
        <row r="40">
          <cell r="S40">
            <v>3.8416005411316001</v>
          </cell>
          <cell r="T40">
            <v>0</v>
          </cell>
          <cell r="V40">
            <v>0.02</v>
          </cell>
        </row>
        <row r="41">
          <cell r="S41">
            <v>3.1484533605716551</v>
          </cell>
          <cell r="T41">
            <v>0</v>
          </cell>
          <cell r="V41">
            <v>0.02</v>
          </cell>
        </row>
        <row r="42">
          <cell r="S42">
            <v>4.3618239273563626</v>
          </cell>
          <cell r="T42">
            <v>0</v>
          </cell>
          <cell r="V42">
            <v>0</v>
          </cell>
        </row>
        <row r="43">
          <cell r="S43">
            <v>4.1447207695471677</v>
          </cell>
          <cell r="T43">
            <v>0</v>
          </cell>
          <cell r="V43">
            <v>0</v>
          </cell>
        </row>
        <row r="44">
          <cell r="S44">
            <v>4.0342406381523954</v>
          </cell>
          <cell r="T44">
            <v>0</v>
          </cell>
          <cell r="V44">
            <v>0</v>
          </cell>
        </row>
        <row r="45">
          <cell r="S45">
            <v>3.8565102954978872</v>
          </cell>
          <cell r="T45">
            <v>0</v>
          </cell>
          <cell r="V45">
            <v>0</v>
          </cell>
        </row>
        <row r="46">
          <cell r="S46">
            <v>3.8155121050473024</v>
          </cell>
          <cell r="T46">
            <v>0</v>
          </cell>
          <cell r="V46">
            <v>0</v>
          </cell>
        </row>
        <row r="47">
          <cell r="S47">
            <v>3.7954891891721947</v>
          </cell>
          <cell r="T47">
            <v>0</v>
          </cell>
          <cell r="V47">
            <v>0</v>
          </cell>
        </row>
        <row r="48">
          <cell r="S48">
            <v>3.7588718259339711</v>
          </cell>
          <cell r="T48">
            <v>0</v>
          </cell>
          <cell r="V48">
            <v>0</v>
          </cell>
        </row>
        <row r="49">
          <cell r="S49">
            <v>3.6243409329763652</v>
          </cell>
          <cell r="T49">
            <v>0</v>
          </cell>
          <cell r="V49">
            <v>0</v>
          </cell>
        </row>
        <row r="50">
          <cell r="S50">
            <v>3.5409593240373143</v>
          </cell>
          <cell r="T50">
            <v>0</v>
          </cell>
          <cell r="V50">
            <v>0</v>
          </cell>
        </row>
        <row r="51">
          <cell r="S51">
            <v>3.4965075614664802</v>
          </cell>
          <cell r="T51">
            <v>0</v>
          </cell>
          <cell r="V51">
            <v>0</v>
          </cell>
        </row>
        <row r="52">
          <cell r="S52">
            <v>3.4242626545931514</v>
          </cell>
          <cell r="T52">
            <v>0</v>
          </cell>
          <cell r="V52">
            <v>0</v>
          </cell>
        </row>
        <row r="53">
          <cell r="S53">
            <v>3.417726683613366</v>
          </cell>
          <cell r="T53">
            <v>0</v>
          </cell>
          <cell r="V53">
            <v>0</v>
          </cell>
        </row>
        <row r="54">
          <cell r="S54">
            <v>3.1654750481410856</v>
          </cell>
          <cell r="T54">
            <v>0</v>
          </cell>
          <cell r="V54">
            <v>0</v>
          </cell>
        </row>
        <row r="55">
          <cell r="S55">
            <v>3.1179499062782408</v>
          </cell>
          <cell r="T55">
            <v>0</v>
          </cell>
          <cell r="V55">
            <v>0</v>
          </cell>
        </row>
        <row r="56">
          <cell r="S56">
            <v>3.0773122605464138</v>
          </cell>
          <cell r="T56">
            <v>0</v>
          </cell>
          <cell r="V56">
            <v>0</v>
          </cell>
        </row>
        <row r="57">
          <cell r="S57">
            <v>2.9907197317304455</v>
          </cell>
          <cell r="T57">
            <v>0</v>
          </cell>
          <cell r="V57">
            <v>0</v>
          </cell>
        </row>
        <row r="58">
          <cell r="S58">
            <v>2.9601050959108397</v>
          </cell>
          <cell r="T58">
            <v>0</v>
          </cell>
          <cell r="V58">
            <v>0</v>
          </cell>
        </row>
        <row r="59">
          <cell r="S59">
            <v>2.8848007128467095</v>
          </cell>
          <cell r="T59">
            <v>0</v>
          </cell>
          <cell r="V59">
            <v>0</v>
          </cell>
        </row>
        <row r="60">
          <cell r="S60">
            <v>2.8735646395797834</v>
          </cell>
          <cell r="T60">
            <v>0</v>
          </cell>
          <cell r="V60">
            <v>0</v>
          </cell>
        </row>
        <row r="61">
          <cell r="S61">
            <v>2.8564702062204832</v>
          </cell>
          <cell r="T61">
            <v>0</v>
          </cell>
          <cell r="V61">
            <v>0</v>
          </cell>
        </row>
        <row r="62">
          <cell r="S62">
            <v>2.6810215287142909</v>
          </cell>
          <cell r="T62">
            <v>0</v>
          </cell>
          <cell r="V62">
            <v>0</v>
          </cell>
        </row>
        <row r="63">
          <cell r="S63">
            <v>2.6246685921631587</v>
          </cell>
          <cell r="T63">
            <v>0</v>
          </cell>
          <cell r="V63">
            <v>0</v>
          </cell>
        </row>
        <row r="64">
          <cell r="S64">
            <v>2.5494451709255714</v>
          </cell>
          <cell r="T64">
            <v>0</v>
          </cell>
          <cell r="V64">
            <v>0</v>
          </cell>
        </row>
        <row r="65">
          <cell r="S65">
            <v>2.5257286443082552</v>
          </cell>
          <cell r="T65">
            <v>0</v>
          </cell>
          <cell r="V65">
            <v>0</v>
          </cell>
        </row>
        <row r="66">
          <cell r="S66">
            <v>2.4932054526026954</v>
          </cell>
          <cell r="T66">
            <v>0</v>
          </cell>
          <cell r="V66">
            <v>0</v>
          </cell>
        </row>
        <row r="67">
          <cell r="S67">
            <v>2.451005098112319</v>
          </cell>
          <cell r="T67">
            <v>0</v>
          </cell>
          <cell r="V67">
            <v>0</v>
          </cell>
        </row>
        <row r="68">
          <cell r="S68">
            <v>2.4248027257182949</v>
          </cell>
          <cell r="T68">
            <v>0</v>
          </cell>
          <cell r="V68">
            <v>0</v>
          </cell>
        </row>
        <row r="69">
          <cell r="S69">
            <v>2.3513752571634776</v>
          </cell>
          <cell r="T69">
            <v>0</v>
          </cell>
          <cell r="V69">
            <v>0</v>
          </cell>
        </row>
        <row r="70">
          <cell r="S70">
            <v>2.33214389523559</v>
          </cell>
          <cell r="T70">
            <v>0</v>
          </cell>
          <cell r="V70">
            <v>0</v>
          </cell>
        </row>
        <row r="71">
          <cell r="S71">
            <v>2.3223877202902257</v>
          </cell>
          <cell r="T71">
            <v>0</v>
          </cell>
          <cell r="V71">
            <v>0</v>
          </cell>
        </row>
        <row r="72">
          <cell r="S72">
            <v>2.3223877202902252</v>
          </cell>
          <cell r="T72">
            <v>0</v>
          </cell>
          <cell r="V72">
            <v>0</v>
          </cell>
        </row>
        <row r="73">
          <cell r="S73">
            <v>2.2192034840549946</v>
          </cell>
          <cell r="T73">
            <v>0</v>
          </cell>
          <cell r="V73">
            <v>0</v>
          </cell>
        </row>
        <row r="74">
          <cell r="S74">
            <v>2.1400661634962708</v>
          </cell>
          <cell r="T74">
            <v>0</v>
          </cell>
          <cell r="V74">
            <v>0</v>
          </cell>
        </row>
        <row r="75">
          <cell r="S75">
            <v>2.1162555148025524</v>
          </cell>
          <cell r="T75">
            <v>0</v>
          </cell>
          <cell r="V75">
            <v>0</v>
          </cell>
        </row>
        <row r="76">
          <cell r="S76">
            <v>2.1162555148025524</v>
          </cell>
          <cell r="T76">
            <v>0</v>
          </cell>
          <cell r="V76">
            <v>0</v>
          </cell>
        </row>
        <row r="77">
          <cell r="S77">
            <v>2.1041341542702074</v>
          </cell>
          <cell r="T77">
            <v>0</v>
          </cell>
          <cell r="V77">
            <v>0</v>
          </cell>
        </row>
        <row r="78">
          <cell r="S78">
            <v>2.0541237336955458</v>
          </cell>
          <cell r="T78">
            <v>0</v>
          </cell>
          <cell r="V78">
            <v>0</v>
          </cell>
        </row>
        <row r="79">
          <cell r="S79">
            <v>1.9021075263969205</v>
          </cell>
          <cell r="T79">
            <v>0</v>
          </cell>
          <cell r="V79">
            <v>0</v>
          </cell>
        </row>
        <row r="80">
          <cell r="S80">
            <v>1.8562979903656265</v>
          </cell>
          <cell r="T80">
            <v>0</v>
          </cell>
          <cell r="V80">
            <v>0</v>
          </cell>
        </row>
        <row r="81">
          <cell r="S81">
            <v>1.8082887711792655</v>
          </cell>
          <cell r="T81">
            <v>0</v>
          </cell>
          <cell r="V81">
            <v>0</v>
          </cell>
        </row>
        <row r="82">
          <cell r="S82">
            <v>1.6486586255873816</v>
          </cell>
          <cell r="T82">
            <v>0</v>
          </cell>
          <cell r="V82">
            <v>0</v>
          </cell>
        </row>
        <row r="83">
          <cell r="S83">
            <v>1.589235205116581</v>
          </cell>
          <cell r="T83">
            <v>0</v>
          </cell>
          <cell r="V83">
            <v>0</v>
          </cell>
        </row>
        <row r="84">
          <cell r="S84">
            <v>1.4350845252893225</v>
          </cell>
          <cell r="T84">
            <v>0</v>
          </cell>
          <cell r="V84">
            <v>0</v>
          </cell>
        </row>
        <row r="85">
          <cell r="S85">
            <v>1.3862943611198906</v>
          </cell>
          <cell r="T85">
            <v>0</v>
          </cell>
          <cell r="V85">
            <v>0</v>
          </cell>
        </row>
        <row r="86">
          <cell r="S86">
            <v>1.2237754316221152</v>
          </cell>
          <cell r="T86">
            <v>0</v>
          </cell>
          <cell r="V86">
            <v>0</v>
          </cell>
        </row>
        <row r="87">
          <cell r="S87">
            <v>0.87546873735390007</v>
          </cell>
          <cell r="T87">
            <v>0</v>
          </cell>
          <cell r="V87">
            <v>0</v>
          </cell>
        </row>
        <row r="88">
          <cell r="S88">
            <v>0.18232155679395479</v>
          </cell>
          <cell r="T88">
            <v>0</v>
          </cell>
          <cell r="V88">
            <v>0</v>
          </cell>
        </row>
        <row r="89">
          <cell r="S89">
            <v>0</v>
          </cell>
          <cell r="T89">
            <v>0</v>
          </cell>
          <cell r="V89">
            <v>0</v>
          </cell>
        </row>
        <row r="90">
          <cell r="S90">
            <v>0</v>
          </cell>
          <cell r="T90">
            <v>0</v>
          </cell>
          <cell r="V90">
            <v>0</v>
          </cell>
        </row>
        <row r="91">
          <cell r="S91">
            <v>4.2640873368091947</v>
          </cell>
          <cell r="T91">
            <v>4.1108738641733114</v>
          </cell>
          <cell r="V91">
            <v>1</v>
          </cell>
        </row>
        <row r="92">
          <cell r="S92">
            <v>3.0106208860477417</v>
          </cell>
          <cell r="T92">
            <v>2.9444389791664403</v>
          </cell>
          <cell r="V92">
            <v>1</v>
          </cell>
        </row>
        <row r="93">
          <cell r="S93">
            <v>3.1527360223636558</v>
          </cell>
          <cell r="T93">
            <v>0</v>
          </cell>
          <cell r="V93">
            <v>0.02</v>
          </cell>
        </row>
        <row r="94">
          <cell r="S94">
            <v>2.8033603809065348</v>
          </cell>
          <cell r="T94">
            <v>0</v>
          </cell>
          <cell r="V94">
            <v>0</v>
          </cell>
        </row>
        <row r="95">
          <cell r="S95">
            <v>1.4350845252893234</v>
          </cell>
          <cell r="T95">
            <v>0</v>
          </cell>
          <cell r="V95">
            <v>0</v>
          </cell>
        </row>
        <row r="96">
          <cell r="S96">
            <v>3.8999504241938769</v>
          </cell>
          <cell r="T96">
            <v>0.69314718055994529</v>
          </cell>
          <cell r="V96">
            <v>-5.2631578947368418E-2</v>
          </cell>
        </row>
        <row r="97">
          <cell r="S97">
            <v>1.5260563034950481</v>
          </cell>
          <cell r="T97">
            <v>1.0986122886681098</v>
          </cell>
          <cell r="V97">
            <v>-0.10526315789473684</v>
          </cell>
        </row>
        <row r="98">
          <cell r="S98">
            <v>3.1527360223636558</v>
          </cell>
          <cell r="T98">
            <v>1.9459101490553132</v>
          </cell>
          <cell r="V98">
            <v>-0.31578947368421051</v>
          </cell>
        </row>
        <row r="99">
          <cell r="S99">
            <v>2.9856819377004893</v>
          </cell>
          <cell r="T99">
            <v>1.9459101490553132</v>
          </cell>
          <cell r="V99">
            <v>-0.31578947368421051</v>
          </cell>
        </row>
        <row r="100">
          <cell r="S100">
            <v>3.5945687746426951</v>
          </cell>
          <cell r="T100">
            <v>2.0794415416798357</v>
          </cell>
          <cell r="V100">
            <v>-0.36842105263157893</v>
          </cell>
        </row>
        <row r="101">
          <cell r="S101">
            <v>3.3877743613300151</v>
          </cell>
          <cell r="T101">
            <v>2.9957322735539909</v>
          </cell>
          <cell r="V101">
            <v>-1</v>
          </cell>
        </row>
      </sheetData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29CB5-996C-4C7E-ABE0-EC50A613B3C8}" name="Table6" displayName="Table6" ref="A3:N28" totalsRowShown="0" dataDxfId="83">
  <autoFilter ref="A3:N28" xr:uid="{87729CB5-996C-4C7E-ABE0-EC50A613B3C8}"/>
  <sortState xmlns:xlrd2="http://schemas.microsoft.com/office/spreadsheetml/2017/richdata2" ref="A4:N28">
    <sortCondition ref="B4:B28"/>
    <sortCondition ref="N4:N28"/>
  </sortState>
  <tableColumns count="14">
    <tableColumn id="1" xr3:uid="{0198A821-766C-4DC9-A07C-6B92C70B49D8}" name="Chart" dataDxfId="82"/>
    <tableColumn id="2" xr3:uid="{FFC3C156-D813-454B-B1AA-BA60D6D541E1}" name=" Set" dataDxfId="81"/>
    <tableColumn id="3" xr3:uid="{70C45B47-0E3D-4F4E-BC67-0E3429357D12}" name=" N" dataDxfId="80"/>
    <tableColumn id="4" xr3:uid="{6A599B94-74CD-41DD-BF39-8921D16A98A3}" name=" Mean X" dataDxfId="79"/>
    <tableColumn id="5" xr3:uid="{6C064B34-5E64-4A9D-B996-9B4E4DA34699}" name=" Mean Y" dataDxfId="78"/>
    <tableColumn id="6" xr3:uid="{B52A299F-F663-4B6F-9B18-A44448474963}" name=" SD X" dataDxfId="77"/>
    <tableColumn id="7" xr3:uid="{5E8D423E-2C7E-4023-8096-FD48ED36B476}" name=" SD Y" dataDxfId="76"/>
    <tableColumn id="8" xr3:uid="{DA7E927F-0494-4F34-B104-B74F47580D21}" name=" Annual Change (Slope)" dataDxfId="75"/>
    <tableColumn id="9" xr3:uid="{EF569730-9331-462F-843F-A2EA2D89CDCD}" name=" Y-Intercept" dataDxfId="74"/>
    <tableColumn id="10" xr3:uid="{8B83DCDF-6867-4F75-B9AC-DFE46D8B43C2}" name=" Max X" dataDxfId="73"/>
    <tableColumn id="11" xr3:uid="{1CA78864-8BBF-4CDE-B85B-2B4D4E6359BD}" name=" Max Y" dataDxfId="72"/>
    <tableColumn id="12" xr3:uid="{641E6979-6FFE-4E3E-8A5D-08816EAC12ED}" name=" Min X" dataDxfId="71"/>
    <tableColumn id="13" xr3:uid="{7EA4EE7A-31F9-4BA1-811F-561C0B294893}" name=" Min Y" dataDxfId="70"/>
    <tableColumn id="14" xr3:uid="{FE63613F-EEC0-4FFE-8AEF-BE5E47477407}" name=" p-value" dataDxfId="6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84E93D-A895-4775-87BD-691F6A5B70F3}" name="Table2" displayName="Table2" ref="A45:B50" totalsRowShown="0">
  <autoFilter ref="A45:B50" xr:uid="{A584E93D-A895-4775-87BD-691F6A5B70F3}"/>
  <tableColumns count="2">
    <tableColumn id="1" xr3:uid="{FEB78F4F-3F6E-414E-9794-4519437CC01D}" name="Data Set" dataDxfId="68"/>
    <tableColumn id="2" xr3:uid="{E40CBFB1-876C-4F8A-9D09-98A4184A35D5}" name="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5AC69C-9B4B-471D-B38E-3B636613760E}" name="Table19" displayName="Table19" ref="A3:C46" totalsRowShown="0">
  <autoFilter ref="A3:C46" xr:uid="{7F5AC69C-9B4B-471D-B38E-3B636613760E}"/>
  <sortState xmlns:xlrd2="http://schemas.microsoft.com/office/spreadsheetml/2017/richdata2" ref="A4:C46">
    <sortCondition descending="1" ref="C3:C46"/>
  </sortState>
  <tableColumns count="3">
    <tableColumn id="1" xr3:uid="{04D99854-E96A-4EF6-A5CE-3BC04D974023}" name="Id"/>
    <tableColumn id="2" xr3:uid="{E724EB99-E2FF-40C8-976F-C396BFF2CF02}" name=" GeoMeanTps/DCac "/>
    <tableColumn id="3" xr3:uid="{073ECBB5-5E0D-4075-B8AF-7D7FE293BE6F}" name=" TdCac/DCac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AEC33F0-C2E8-4BA7-A760-0A8583C21B44}" name="Table18" displayName="Table18" ref="N3:P46" totalsRowShown="0">
  <autoFilter ref="N3:P46" xr:uid="{7AEC33F0-C2E8-4BA7-A760-0A8583C21B44}"/>
  <sortState xmlns:xlrd2="http://schemas.microsoft.com/office/spreadsheetml/2017/richdata2" ref="N4:P46">
    <sortCondition descending="1" ref="P3:P46"/>
  </sortState>
  <tableColumns count="3">
    <tableColumn id="1" xr3:uid="{F3E0E2B0-4FC9-4756-A99D-A9EE91BDDF18}" name="Id"/>
    <tableColumn id="2" xr3:uid="{D3D3F999-4543-4E9A-BD79-B45CACB3C54A}" name=" TdNcpv "/>
    <tableColumn id="3" xr3:uid="{DED7ACA5-272D-458B-BC91-BFA8B62B56D7}" name=" Ln(MinNcpv/DNcpv)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F2A7047-8F40-4D92-898F-D17C17B3B6C8}" name="Table23" displayName="Table23" ref="Z3:AB40" totalsRowShown="0">
  <autoFilter ref="Z3:AB40" xr:uid="{2F2A7047-8F40-4D92-898F-D17C17B3B6C8}"/>
  <sortState xmlns:xlrd2="http://schemas.microsoft.com/office/spreadsheetml/2017/richdata2" ref="Z4:AB40">
    <sortCondition ref="AA3:AA40"/>
  </sortState>
  <tableColumns count="3">
    <tableColumn id="1" xr3:uid="{F19F30A3-8B9F-46D5-91FC-86C8A80E4C07}" name="Id"/>
    <tableColumn id="2" xr3:uid="{D0D81561-333D-4EDD-9FC1-649E416D3BE8}" name=" TdNcpv "/>
    <tableColumn id="3" xr3:uid="{B94EFAE8-E563-450F-A228-7D39872C1483}" name=" TdCac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2FBD7-3B28-4586-98BB-2135DF87EAAB}" name="Table3" displayName="Table3" ref="A1:AH100" totalsRowShown="0" headerRowDxfId="67" dataDxfId="66" tableBorderDxfId="65">
  <autoFilter ref="A1:AH100" xr:uid="{7E62FBD7-3B28-4586-98BB-2135DF87EAAB}"/>
  <sortState xmlns:xlrd2="http://schemas.microsoft.com/office/spreadsheetml/2017/richdata2" ref="A2:AH101">
    <sortCondition ref="AH2:AH101"/>
    <sortCondition ref="X2:X101"/>
  </sortState>
  <tableColumns count="34">
    <tableColumn id="1" xr3:uid="{244DE4B1-959B-4F7B-BE90-66BBBD07B616}" name="Index" dataDxfId="64"/>
    <tableColumn id="2" xr3:uid="{D9BDE7CF-8A2F-4596-8F6C-D01C9065807F}" name="Set" dataDxfId="63"/>
    <tableColumn id="3" xr3:uid="{84B05C1A-7D34-446A-BA26-48D630CF307A}" name="Tps0" dataDxfId="62"/>
    <tableColumn id="4" xr3:uid="{DB36BD45-4B2B-4343-9EC6-075771643F72}" name="Tps1" dataDxfId="61"/>
    <tableColumn id="5" xr3:uid="{528B5023-8B95-44EA-B56D-DF410E39AE71}" name="Cac0" dataDxfId="60"/>
    <tableColumn id="6" xr3:uid="{CDED685D-DBAC-4F24-B269-8FEC1560CC25}" name="Cac1" dataDxfId="59"/>
    <tableColumn id="7" xr3:uid="{88DFA868-70B1-4798-859C-77FD0476667E}" name="Ncpv0" dataDxfId="58"/>
    <tableColumn id="8" xr3:uid="{A786CD32-8808-49A5-9911-0E432FED7A95}" name="Ncpv1" dataDxfId="57"/>
    <tableColumn id="9" xr3:uid="{9C8AA85B-3FB2-4FB2-913C-4B3251DC70F9}" name="Tcpv0" dataDxfId="56"/>
    <tableColumn id="10" xr3:uid="{59A13A10-1C7A-4D71-8043-B7CD37AFEE6F}" name="Tcpv1" dataDxfId="55"/>
    <tableColumn id="11" xr3:uid="{86979E46-1E15-4585-9223-5AB968F49A83}" name="Pav0" dataDxfId="54"/>
    <tableColumn id="12" xr3:uid="{3BD52724-EF52-4408-86B8-5CAE1E171768}" name="Pav1" dataDxfId="53"/>
    <tableColumn id="13" xr3:uid="{09C1AB94-13D6-41E0-A644-50E97C15525E}" name="LnTps0" dataDxfId="52"/>
    <tableColumn id="14" xr3:uid="{E678F681-91C2-429D-9920-E281B59C36C1}" name="LnTps1" dataDxfId="51"/>
    <tableColumn id="15" xr3:uid="{2C29E7BA-F407-463E-845C-08AA48CF2F23}" name="LnCac0" dataDxfId="50"/>
    <tableColumn id="16" xr3:uid="{3DD962A9-A6AB-4FAB-9FB3-B930603865AC}" name="LnCac1" dataDxfId="49"/>
    <tableColumn id="17" xr3:uid="{8D5A16C4-49A0-406C-BE5D-103955F950AD}" name="LnNcpv0" dataDxfId="48"/>
    <tableColumn id="18" xr3:uid="{68E2D51C-C774-454B-AB0C-61E3FCDD2EEE}" name="LnNcpv1" dataDxfId="47"/>
    <tableColumn id="19" xr3:uid="{F1942BE5-B6C8-4CC3-8E13-23CE28D54500}" name="LnTcpv0" dataDxfId="46"/>
    <tableColumn id="20" xr3:uid="{72CB20BC-AAD6-44A7-A465-94DF60F54E88}" name="LnTcpv1" dataDxfId="45"/>
    <tableColumn id="21" xr3:uid="{AE8A4EA7-BB7B-42CF-A82D-F714AAA0BB97}" name="LnPav0" dataDxfId="44"/>
    <tableColumn id="22" xr3:uid="{92B3BC43-9DDB-462E-AD96-FC0DBE29991B}" name="LnPav1" dataDxfId="43"/>
    <tableColumn id="23" xr3:uid="{AF220AF1-4B91-40A0-8A44-116C6A1A2AC6}" name="DTps" dataDxfId="42"/>
    <tableColumn id="24" xr3:uid="{4AB50C4F-29FF-415E-B46F-3BD2D0B273D6}" name="DCac" dataDxfId="41"/>
    <tableColumn id="25" xr3:uid="{C17E3508-8790-4ADE-80C6-9789AD50E772}" name="DNcpv" dataDxfId="40"/>
    <tableColumn id="26" xr3:uid="{20BDEB4B-7096-40A2-B90E-921C4D68D8A0}" name="DTcpv" dataDxfId="39"/>
    <tableColumn id="27" xr3:uid="{A1E8EA4D-023B-4C05-BB3A-534D0899E2B2}" name="DPav" dataDxfId="38"/>
    <tableColumn id="28" xr3:uid="{6235415D-6761-4749-B16E-B812B7FA9A22}" name="LnDTps" dataDxfId="37"/>
    <tableColumn id="29" xr3:uid="{77FB0F58-8363-4BAE-A3CF-899591ABA083}" name="LnDNcpv" dataDxfId="36"/>
    <tableColumn id="30" xr3:uid="{31BE32A7-78BC-4BB0-A3E5-8B4B58BBD022}" name="LnDCac" dataDxfId="35"/>
    <tableColumn id="31" xr3:uid="{26C4627F-51B8-4268-834C-F898D944A803}" name="LnDTcpv" dataDxfId="34"/>
    <tableColumn id="32" xr3:uid="{800F1A81-0A6B-47E1-B71E-82F39C256368}" name="LnDPav" dataDxfId="33"/>
    <tableColumn id="33" xr3:uid="{CC963620-62EB-483D-A507-73958F90533C}" name="Is Zeta" dataDxfId="32">
      <calculatedColumnFormula>AND("Zeta" ='Keto-CTA with change &amp;Ln-Values'!$B2)</calculatedColumnFormula>
    </tableColumn>
    <tableColumn id="34" xr3:uid="{C5FD8082-7714-47C0-A5DF-7FF1863A5B3E}" name="Column1" dataDxfId="31">
      <calculatedColumnFormula>ABS(X2) &gt; 0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6D2455-2F58-43CC-8B00-04929D691669}" name="Table4" displayName="Table4" ref="AA3:AC13" totalsRowShown="0">
  <autoFilter ref="AA3:AC13" xr:uid="{406D2455-2F58-43CC-8B00-04929D691669}"/>
  <sortState xmlns:xlrd2="http://schemas.microsoft.com/office/spreadsheetml/2017/richdata2" ref="AA4:AC13">
    <sortCondition ref="AC3:AC13"/>
  </sortState>
  <tableColumns count="3">
    <tableColumn id="1" xr3:uid="{92D601B1-DFCE-4C6F-8DED-6BD3296888F4}" name="Id"/>
    <tableColumn id="2" xr3:uid="{9ABB5368-F181-4F1A-B640-67A9ABC3FAE5}" name=" Ln(Ncpv1/Tcpv1) "/>
    <tableColumn id="3" xr3:uid="{AC48A9D2-D8A5-4050-9EAE-07730F0A006A}" name=" Ln(Qangio0/Tcpv1)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CAE278-DD70-445C-B6E9-607105988CC6}" name="Table5" displayName="Table5" ref="AL3:AN91" totalsRowShown="0">
  <autoFilter ref="AL3:AN91" xr:uid="{BBCAE278-DD70-445C-B6E9-607105988CC6}"/>
  <sortState xmlns:xlrd2="http://schemas.microsoft.com/office/spreadsheetml/2017/richdata2" ref="AL4:AN91">
    <sortCondition ref="AM3:AM91"/>
  </sortState>
  <tableColumns count="3">
    <tableColumn id="1" xr3:uid="{74F28B67-2C6F-4BD5-8A11-E8212A665DFC}" name="Id"/>
    <tableColumn id="2" xr3:uid="{AD7160C9-3414-422C-A41E-C91E03C503CF}" name=" Ln(Ncpv1/Tcpv1) "/>
    <tableColumn id="3" xr3:uid="{099D2EB0-9EDE-4877-9FCA-ABB70376EEFB}" name=" Ln(Ncpv0/Tcpv1)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EC7DB9-7309-4CEA-851F-1C3E4EA1466B}" name="Table7" displayName="Table7" ref="AX3:AZ91" totalsRowShown="0">
  <autoFilter ref="AX3:AZ91" xr:uid="{07EC7DB9-7309-4CEA-851F-1C3E4EA1466B}"/>
  <sortState xmlns:xlrd2="http://schemas.microsoft.com/office/spreadsheetml/2017/richdata2" ref="AX4:AZ91">
    <sortCondition ref="AY3:AY91"/>
  </sortState>
  <tableColumns count="3">
    <tableColumn id="1" xr3:uid="{098D4F48-0616-428E-A7C9-A0631783F84E}" name="Id"/>
    <tableColumn id="2" xr3:uid="{555659DA-4EE6-4A46-922B-E8D8610CA51B}" name=" Ln(Ncpv0/Tcpv0) "/>
    <tableColumn id="3" xr3:uid="{4518E53F-88BA-48B5-84F4-8745D2CBE391}" name=" Ln(Ncpv1/Tcpv1)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E6E014-6946-4F37-84EA-C297CDDE3C1F}" name="Table8" displayName="Table8" ref="BL3:BN91" totalsRowShown="0">
  <autoFilter ref="BL3:BN91" xr:uid="{8FE6E014-6946-4F37-84EA-C297CDDE3C1F}"/>
  <sortState xmlns:xlrd2="http://schemas.microsoft.com/office/spreadsheetml/2017/richdata2" ref="BL4:BN91">
    <sortCondition ref="BN3:BN91"/>
  </sortState>
  <tableColumns count="3">
    <tableColumn id="1" xr3:uid="{A39618C5-BBB7-4980-AEAB-5F06CCAC7E2F}" name="Id"/>
    <tableColumn id="2" xr3:uid="{75D3CA7E-056E-48C8-BB13-C01C8070AAF3}" name=" Ln(Ncpv1/Tcpv0) "/>
    <tableColumn id="3" xr3:uid="{4E19A48C-8AE4-4195-B674-DABC0F08BFD0}" name=" Ln(Ncpv0/Tcpv1)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12E46B-04CD-4C86-98B6-84971A0BD53D}" name="Table9" displayName="Table9" ref="BX3:BZ91" totalsRowShown="0">
  <autoFilter ref="BX3:BZ91" xr:uid="{BD12E46B-04CD-4C86-98B6-84971A0BD53D}"/>
  <sortState xmlns:xlrd2="http://schemas.microsoft.com/office/spreadsheetml/2017/richdata2" ref="BX4:BZ91">
    <sortCondition ref="BX3:BX91"/>
  </sortState>
  <tableColumns count="3">
    <tableColumn id="1" xr3:uid="{D4312BB6-8697-4E9A-BCA0-4DE022313188}" name="Id"/>
    <tableColumn id="2" xr3:uid="{7155E3F4-BB55-4DBD-B4F1-FD6C2F4D8180}" name=" LnNcpv0 "/>
    <tableColumn id="3" xr3:uid="{9E0F7DCB-4B3F-4571-A31F-735806CE0818}" name=" LnNcpv1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B697C5-23E7-419F-9E99-E68FE10F02C7}" name="Table10" displayName="Table10" ref="CJ3:CL20" totalsRowShown="0">
  <autoFilter ref="CJ3:CL20" xr:uid="{E2B697C5-23E7-419F-9E99-E68FE10F02C7}"/>
  <sortState xmlns:xlrd2="http://schemas.microsoft.com/office/spreadsheetml/2017/richdata2" ref="CJ4:CL20">
    <sortCondition ref="CL3:CL20"/>
  </sortState>
  <tableColumns count="3">
    <tableColumn id="1" xr3:uid="{7E465FED-20DD-4E4C-B22C-74A2C88D3665}" name="Id"/>
    <tableColumn id="2" xr3:uid="{48FEC85E-5E58-441D-B088-EF43F465EFFE}" name=" LnDCac "/>
    <tableColumn id="3" xr3:uid="{33BDA88E-BB6D-48DE-92CB-2B7EA8F97379}" name=" growthCac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2C9B98-A0B7-4DD7-A7C8-A95124D2B56D}" name="Table11" displayName="Table11" ref="Z3:AB20" totalsRowShown="0">
  <autoFilter ref="Z3:AB20" xr:uid="{7A2C9B98-A0B7-4DD7-A7C8-A95124D2B56D}"/>
  <sortState xmlns:xlrd2="http://schemas.microsoft.com/office/spreadsheetml/2017/richdata2" ref="Z4:AB20">
    <sortCondition ref="AB3:AB20"/>
  </sortState>
  <tableColumns count="3">
    <tableColumn id="1" xr3:uid="{E4387D75-C25B-4489-A7FB-A77E7CB47E59}" name="Id"/>
    <tableColumn id="2" xr3:uid="{0A01579A-3BAD-424A-8CEF-1B6D2EE94573}" name=" GrowthNcpv "/>
    <tableColumn id="3" xr3:uid="{FE3C2845-4C72-4B7D-B4AF-8CC507873D85}" name=" GrowthCac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19FFC0-A29B-4DCF-A30D-FE2D6BC4A50D}" name="Table12" displayName="Table12" ref="Z34:AB57" totalsRowShown="0">
  <autoFilter ref="Z34:AB57" xr:uid="{4819FFC0-A29B-4DCF-A30D-FE2D6BC4A50D}"/>
  <sortState xmlns:xlrd2="http://schemas.microsoft.com/office/spreadsheetml/2017/richdata2" ref="Z35:AB57">
    <sortCondition descending="1" ref="AB34:AB57"/>
  </sortState>
  <tableColumns count="3">
    <tableColumn id="1" xr3:uid="{D8D02FC4-A84D-4637-B54B-8F309F8AD289}" name="Id"/>
    <tableColumn id="2" xr3:uid="{35F52CF0-D40E-48A6-85B0-F61EDBA43BE4}" name=" GrowthNcpv "/>
    <tableColumn id="3" xr3:uid="{1E574DD7-E765-44F4-B3F9-6FBF465BDB5F}" name=" GrowthCac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7BF5D1-357A-4698-AB3D-D041688707D2}" name="Table13" displayName="Table13" ref="A2:K54" totalsRowShown="0">
  <autoFilter ref="A2:K54" xr:uid="{7C7BF5D1-357A-4698-AB3D-D041688707D2}"/>
  <sortState xmlns:xlrd2="http://schemas.microsoft.com/office/spreadsheetml/2017/richdata2" ref="A3:K54">
    <sortCondition ref="F2:F54"/>
  </sortState>
  <tableColumns count="11">
    <tableColumn id="1" xr3:uid="{1D46FF10-90EB-49AB-8BDF-907832D2CAB3}" name="Id"/>
    <tableColumn id="2" xr3:uid="{9508D153-F040-4FE3-9879-9A0E13C02C7D}" name="Set"/>
    <tableColumn id="3" xr3:uid="{93000AE9-766F-4D38-B6C9-F587939DC978}" name="Cac0"/>
    <tableColumn id="4" xr3:uid="{D708DF69-BA7F-4726-AF16-EDCA02756894}" name="Cac1"/>
    <tableColumn id="5" xr3:uid="{D4F2CDEC-D891-4FE3-AE50-E416A1380407}" name="DCac"/>
    <tableColumn id="6" xr3:uid="{70766959-2FA0-464D-BBCF-F7666765C5AD}" name="Cac-dbl-yrs"/>
    <tableColumn id="7" xr3:uid="{2E385090-F893-408B-9E55-36CAC3050D19}" name="Ncpv0"/>
    <tableColumn id="8" xr3:uid="{30EA48F4-FC8B-45DE-994D-99FB9CD5691F}" name="Ncpv1"/>
    <tableColumn id="9" xr3:uid="{CFF1B3BB-8231-41F0-8B5A-EC4C7CB622A0}" name="DNcpv"/>
    <tableColumn id="10" xr3:uid="{B4C95FC9-2F82-4658-8478-751CE54A9552}" name="Ncpv-dbl-yrs"/>
    <tableColumn id="11" xr3:uid="{ED40A908-5587-44B0-B8E7-57CDF94C6034}" name="QAngio-dbl-yrs"/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120BCB3-B17E-4B97-9B05-BD1F5369FC04}" name="Table15" displayName="Table15" ref="X2:AI102" totalsRowShown="0" headerRowDxfId="30" tableBorderDxfId="29">
  <autoFilter ref="X2:AI102" xr:uid="{7120BCB3-B17E-4B97-9B05-BD1F5369FC04}"/>
  <sortState xmlns:xlrd2="http://schemas.microsoft.com/office/spreadsheetml/2017/richdata2" ref="X3:AI102">
    <sortCondition ref="AG3:AG102"/>
    <sortCondition ref="AA3:AA102"/>
  </sortState>
  <tableColumns count="12">
    <tableColumn id="1" xr3:uid="{D4C5088A-55DA-4BD7-AD20-EC703A51E9A2}" name="Id"/>
    <tableColumn id="2" xr3:uid="{204BA759-1915-42CD-850C-DA980FA1B878}" name="Set"/>
    <tableColumn id="3" xr3:uid="{AFCDD862-19DA-47BB-AA22-8BD43BEAD9C8}" name="Cac0"/>
    <tableColumn id="4" xr3:uid="{46B07B8B-004B-4F68-98B1-3D3FDEE43FE2}" name="Cac1"/>
    <tableColumn id="5" xr3:uid="{BFAF982A-036B-4C58-AF35-1B12776BC013}" name="DCac"/>
    <tableColumn id="6" xr3:uid="{12401277-58A8-40C2-BFE0-5AECD6119DB4}" name="Cac-dbl-yrs"/>
    <tableColumn id="7" xr3:uid="{BE9C947F-9C8C-45B9-952F-F8ADE9A8E4F2}" name="Ncpv0"/>
    <tableColumn id="8" xr3:uid="{9A985047-0A02-4777-AAEC-C512AF169A4E}" name="Ncpv1"/>
    <tableColumn id="9" xr3:uid="{D7CACE1B-1572-4672-BADD-5A6255AC8C32}" name="DNcpv"/>
    <tableColumn id="10" xr3:uid="{38260894-B270-48CE-8DD0-4BF445D36A4D}" name="Ncpv-dbl-yrs"/>
    <tableColumn id="11" xr3:uid="{CBBB6A6C-CC03-4DE4-AA3E-7717899C47C6}" name="QAngio-dbl-yrs"/>
    <tableColumn id="12" xr3:uid="{9301614D-667B-4AED-90E7-37633F39A66F}" name="regressors" dataDxfId="28">
      <calculatedColumnFormula>IF(Sheet2!$AB3&lt;0, -5,"")</calculatedColumnFormula>
    </tableColumn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1844F61-A956-4B92-9B19-7A2C2774E3C8}" name="Table25" displayName="Table25" ref="DI3:DK20" totalsRowShown="0" headerRowDxfId="27" dataDxfId="26">
  <autoFilter ref="DI3:DK20" xr:uid="{C1844F61-A956-4B92-9B19-7A2C2774E3C8}"/>
  <sortState xmlns:xlrd2="http://schemas.microsoft.com/office/spreadsheetml/2017/richdata2" ref="DI4:DK20">
    <sortCondition ref="DJ3:DJ20"/>
  </sortState>
  <tableColumns count="3">
    <tableColumn id="1" xr3:uid="{C50549FB-B672-4E67-B9D4-FB51D3987EEA}" name="Id" dataDxfId="25"/>
    <tableColumn id="2" xr3:uid="{83E72E07-8CBE-463B-A0C8-AA8F38DA504A}" name=" TdCac  " dataDxfId="24"/>
    <tableColumn id="3" xr3:uid="{6E6D61F7-1D77-4C0C-AB42-723E34A1540E}" name=" Cac1/Cac0" dataDxfId="23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C5FC34-0369-4333-9B1A-CFA68F46AB81}" name="Table26" displayName="Table26" ref="CW3:CY51" totalsRowShown="0">
  <autoFilter ref="CW3:CY51" xr:uid="{30C5FC34-0369-4333-9B1A-CFA68F46AB81}"/>
  <sortState xmlns:xlrd2="http://schemas.microsoft.com/office/spreadsheetml/2017/richdata2" ref="CW4:CY51">
    <sortCondition ref="CY3:CY51"/>
  </sortState>
  <tableColumns count="3">
    <tableColumn id="1" xr3:uid="{12508595-9662-47A5-A135-262920FD11B7}" name="Id"/>
    <tableColumn id="2" xr3:uid="{A3332437-3F2A-4CC7-B58C-CB1362B3E53B}" name=" TdNcpv  " dataDxfId="22"/>
    <tableColumn id="3" xr3:uid="{BE9EC188-AAE4-4279-AB49-9EF2CCD3E8A5}" name=" Ncpv1/Ncpv0" dataDxfId="21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44E83F1-8F78-4568-B0CF-45FC8D76BBE8}" name="Table27" displayName="Table27" ref="FE3:FG15" totalsRowShown="0">
  <autoFilter ref="FE3:FG15" xr:uid="{E44E83F1-8F78-4568-B0CF-45FC8D76BBE8}"/>
  <sortState xmlns:xlrd2="http://schemas.microsoft.com/office/spreadsheetml/2017/richdata2" ref="FE4:FG15">
    <sortCondition ref="FF3:FF15"/>
  </sortState>
  <tableColumns count="3">
    <tableColumn id="1" xr3:uid="{4A48533A-6DE0-479E-AEAC-8300EEB4BEA3}" name="Id"/>
    <tableColumn id="2" xr3:uid="{4A015324-D905-4B92-B543-5E0B8B7039B1}" name=" TdNcpv  " dataDxfId="20"/>
    <tableColumn id="3" xr3:uid="{8B73ED3F-BEB8-4B88-98A4-0E3AF8D7FF2E}" name=" Ncpv1/Ncpv0" dataDxfId="19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FEF6FAB-FDD4-4041-BD0B-48A22C631BD9}" name="Table28" displayName="Table28" ref="FN3:FP15" totalsRowShown="0">
  <autoFilter ref="FN3:FP15" xr:uid="{2FEF6FAB-FDD4-4041-BD0B-48A22C631BD9}"/>
  <sortState xmlns:xlrd2="http://schemas.microsoft.com/office/spreadsheetml/2017/richdata2" ref="FN4:FP15">
    <sortCondition ref="FO3:FO15"/>
  </sortState>
  <tableColumns count="3">
    <tableColumn id="1" xr3:uid="{51480401-DFF2-474F-B344-3CFF63703CFB}" name="Id"/>
    <tableColumn id="2" xr3:uid="{2E316338-8958-4771-90D1-9AC683ACDA3F}" name=" TdCac  "/>
    <tableColumn id="3" xr3:uid="{671E6D05-FD40-47C7-8055-DFFC14FCF1AF}" name=" Cac1/Cac0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ABA8BF6-4526-480B-BFC2-01478D69FA83}" name="Table29" displayName="Table29" ref="FY3:GA15" totalsRowShown="0">
  <autoFilter ref="FY3:GA15" xr:uid="{6ABA8BF6-4526-480B-BFC2-01478D69FA83}"/>
  <sortState xmlns:xlrd2="http://schemas.microsoft.com/office/spreadsheetml/2017/richdata2" ref="FY4:GA15">
    <sortCondition ref="FZ3:FZ15"/>
  </sortState>
  <tableColumns count="3">
    <tableColumn id="1" xr3:uid="{1D9B477F-2853-4015-A9CB-1819DEFD1CA6}" name="Id"/>
    <tableColumn id="2" xr3:uid="{E6EE2DB5-1798-4109-A865-C763CFF897D8}" name=" TdCac  "/>
    <tableColumn id="3" xr3:uid="{537AB05B-9E02-492E-9E2E-3682D55A9FD5}" name=" Cac0/Cac1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89970D-E208-4301-BF2F-0DFA2C69E534}" name="Table14" displayName="Table14" ref="DT3:DW26" totalsRowShown="0">
  <autoFilter ref="DT3:DW26" xr:uid="{5D89970D-E208-4301-BF2F-0DFA2C69E534}"/>
  <sortState xmlns:xlrd2="http://schemas.microsoft.com/office/spreadsheetml/2017/richdata2" ref="DT4:DW26">
    <sortCondition descending="1" ref="DV3:DV26"/>
  </sortState>
  <tableColumns count="4">
    <tableColumn id="1" xr3:uid="{F0C71638-720C-451B-99FC-B64512540F4D}" name="Column1"/>
    <tableColumn id="2" xr3:uid="{1C7CAE6B-E960-4238-970E-9F549649AF46}" name="Id"/>
    <tableColumn id="3" xr3:uid="{151EF02D-9CDD-4D93-A5A0-FA61AC0CA7D3}" name=" TdCac " dataDxfId="18"/>
    <tableColumn id="4" xr3:uid="{C89D2F9F-4DD7-488F-9EC8-6DB2B30F6F99}" name=" cac1/cac0" dataDxfId="17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1F8DCE-F84C-496A-9572-B19306FCD2BD}" name="Table16" displayName="Table16" ref="ES3:EU48" totalsRowShown="0" headerRowDxfId="16" tableBorderDxfId="15">
  <autoFilter ref="ES3:EU48" xr:uid="{731F8DCE-F84C-496A-9572-B19306FCD2BD}"/>
  <sortState xmlns:xlrd2="http://schemas.microsoft.com/office/spreadsheetml/2017/richdata2" ref="ES4:EU48">
    <sortCondition ref="ET3:ET48"/>
  </sortState>
  <tableColumns count="3">
    <tableColumn id="1" xr3:uid="{8C22C6E2-8072-4DE6-99A3-87F924F096D4}" name="Id" dataDxfId="14"/>
    <tableColumn id="2" xr3:uid="{4EABFB34-D880-40A1-980D-1C4083F7EC33}" name=" TdNcpv   " dataDxfId="13"/>
    <tableColumn id="3" xr3:uid="{2B14A0CE-2930-439F-B52B-CD31EED56933}" name=" Ncpv1/Ncpv0" dataDxfId="12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49607E-2284-4966-A973-36C5368C2FD4}" name="Table17" displayName="Table17" ref="EG3:EI48" totalsRowShown="0">
  <autoFilter ref="EG3:EI48" xr:uid="{0949607E-2284-4966-A973-36C5368C2FD4}"/>
  <sortState xmlns:xlrd2="http://schemas.microsoft.com/office/spreadsheetml/2017/richdata2" ref="EG4:EI48">
    <sortCondition ref="EH3:EH48"/>
  </sortState>
  <tableColumns count="3">
    <tableColumn id="1" xr3:uid="{3368BE88-C785-442F-B68E-4FEF174498DC}" name="Id"/>
    <tableColumn id="2" xr3:uid="{1B9A66FB-46C9-4BAB-8514-A5696BFA78CF}" name=" TdNcpv   " dataDxfId="11"/>
    <tableColumn id="3" xr3:uid="{B00E1553-AF55-49E2-8998-CA9965380DE7}" name=" Ncpv1/Ncpv0" dataDxfId="10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7AAA64A-38B6-4303-8A8E-7EA2579B2DB9}" name="Table20" displayName="Table20" ref="BY3:CA100" totalsRowShown="0">
  <autoFilter ref="BY3:CA100" xr:uid="{77AAA64A-38B6-4303-8A8E-7EA2579B2DB9}"/>
  <sortState xmlns:xlrd2="http://schemas.microsoft.com/office/spreadsheetml/2017/richdata2" ref="BY4:CA100">
    <sortCondition ref="CA3:CA100"/>
  </sortState>
  <tableColumns count="3">
    <tableColumn id="1" xr3:uid="{2EC67640-3C1D-43A2-BFBB-2BB6B7C802D9}" name="Id"/>
    <tableColumn id="2" xr3:uid="{B249670F-AAA8-4BEA-924C-D81E39EE7264}" name=" RankA "/>
    <tableColumn id="3" xr3:uid="{1D229BA2-A55C-454A-A84B-2ADFEB33EFEF}" name=" TdNcpv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21590A-11C3-4528-B45F-6BAE6DACEE85}" name="Table21" displayName="Table21" ref="GK1:GS9" totalsRowShown="0">
  <autoFilter ref="GK1:GS9" xr:uid="{8C21590A-11C3-4528-B45F-6BAE6DACEE85}"/>
  <sortState xmlns:xlrd2="http://schemas.microsoft.com/office/spreadsheetml/2017/richdata2" ref="GK2:GS9">
    <sortCondition ref="GQ1:GQ9"/>
  </sortState>
  <tableColumns count="9">
    <tableColumn id="1" xr3:uid="{79562920-7549-43E4-985C-A84F598236AF}" name="Regression"/>
    <tableColumn id="2" xr3:uid="{8F2551B9-CF38-4AEE-884C-3EE27AB39527}" name="Set"/>
    <tableColumn id="3" xr3:uid="{AC7D5524-C13A-4DDA-98C5-7B74D06E90C5}" name="Mean X"/>
    <tableColumn id="4" xr3:uid="{7E8FC75A-2961-4D09-8B6A-3EDCFDED1A5B}" name="moe X"/>
    <tableColumn id="5" xr3:uid="{D17432C7-5E82-4748-A3FF-9DB2036C08DB}" name="Mean Y"/>
    <tableColumn id="6" xr3:uid="{FF857933-2595-4B3F-A12D-D3CD2FF1A08E}" name="moe Y"/>
    <tableColumn id="7" xr3:uid="{E89E1893-C2A6-4A41-89E4-613668E26F13}" name="Slope"/>
    <tableColumn id="8" xr3:uid="{D45E79BD-D0C6-4516-AC08-089F235D2A8B}" name="xSD"/>
    <tableColumn id="9" xr3:uid="{8D5427A3-AE4C-4294-9084-C74B48636004}" name="p-value"/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63638FE-750D-46EF-8A1C-9D025BF794EA}" name="Table22" displayName="Table22" ref="GK11:GS19" totalsRowShown="0">
  <autoFilter ref="GK11:GS19" xr:uid="{A63638FE-750D-46EF-8A1C-9D025BF794EA}"/>
  <sortState xmlns:xlrd2="http://schemas.microsoft.com/office/spreadsheetml/2017/richdata2" ref="GK12:GS19">
    <sortCondition descending="1" ref="GQ11:GQ19"/>
  </sortState>
  <tableColumns count="9">
    <tableColumn id="1" xr3:uid="{E03ECD3D-B6F2-4A23-B855-690F2CBD5B7E}" name="Regression"/>
    <tableColumn id="2" xr3:uid="{63D6146B-AECA-4C4D-949D-8F21C248BF5F}" name="Set"/>
    <tableColumn id="3" xr3:uid="{D790F24F-687C-40B9-A46D-D0814942DB88}" name="Mean X"/>
    <tableColumn id="4" xr3:uid="{F492DC87-CA8A-459A-BD20-673273305613}" name="moe X"/>
    <tableColumn id="5" xr3:uid="{D7275424-7292-417A-BBA2-9CC990DE3627}" name="Mean Y"/>
    <tableColumn id="6" xr3:uid="{060F5FFA-F035-4B90-B02B-52E7447B6106}" name="moe Y"/>
    <tableColumn id="7" xr3:uid="{4CE6D77F-0645-4C78-B4A9-28D3370CE542}" name="Slope"/>
    <tableColumn id="8" xr3:uid="{16454D81-E4DC-4E91-AA9F-95F6307B962E}" name="xSD"/>
    <tableColumn id="9" xr3:uid="{E33CE54B-B263-498B-9015-2F6A38189B2F}" name="p-value"/>
  </tableColumns>
  <tableStyleInfo name="TableStyleLight1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8CBF433-8607-494C-AF73-CA8981DAB21C}" name="Table24" displayName="Table24" ref="GK21:GS28" totalsRowShown="0">
  <autoFilter ref="GK21:GS28" xr:uid="{38CBF433-8607-494C-AF73-CA8981DAB21C}"/>
  <sortState xmlns:xlrd2="http://schemas.microsoft.com/office/spreadsheetml/2017/richdata2" ref="GK22:GS28">
    <sortCondition ref="GQ21:GQ28"/>
  </sortState>
  <tableColumns count="9">
    <tableColumn id="1" xr3:uid="{2970B58F-C294-4733-AE70-7095C05611E1}" name="Regression"/>
    <tableColumn id="2" xr3:uid="{FC5F230E-14DF-4B87-A39A-DCDBB6DDEFC1}" name="Set"/>
    <tableColumn id="3" xr3:uid="{C89754E9-CF8E-4C34-B8F7-9000D9D0A42F}" name="Mean X"/>
    <tableColumn id="4" xr3:uid="{91C14D01-0D34-434A-A431-EAF025613878}" name="moe X"/>
    <tableColumn id="5" xr3:uid="{15F2678F-62AF-4F3D-B45D-D6DDF2FB1B39}" name="Mean Y"/>
    <tableColumn id="6" xr3:uid="{FDC6E589-F4F9-41F7-9F3E-EB2F9B286D6B}" name="moe Y"/>
    <tableColumn id="7" xr3:uid="{C1A32DF3-F826-46F6-9621-BCC2841FF825}" name="Slope"/>
    <tableColumn id="8" xr3:uid="{293638F1-90A8-4DF9-867B-74B1F0C39C3E}" name="xSD"/>
    <tableColumn id="9" xr3:uid="{027602F4-BB94-4C9F-B0B4-F2AE333C37B7}" name="p-value"/>
  </tableColumns>
  <tableStyleInfo name="TableStyleLight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24AD373-5341-499A-964F-C045EEF40FCF}" name="Table31" displayName="Table31" ref="AL3:AN40" totalsRowShown="0" tableBorderDxfId="9">
  <autoFilter ref="AL3:AN40" xr:uid="{024AD373-5341-499A-964F-C045EEF40FCF}"/>
  <sortState xmlns:xlrd2="http://schemas.microsoft.com/office/spreadsheetml/2017/richdata2" ref="AL4:AN40">
    <sortCondition ref="AN3:AN40"/>
  </sortState>
  <tableColumns count="3">
    <tableColumn id="1" xr3:uid="{4ED477E5-C16F-415F-8E54-E5EA09D94A24}" name="Id"/>
    <tableColumn id="2" xr3:uid="{D725CD22-CD53-42C2-B558-0A013E7C61B0}" name=" Id " dataDxfId="8"/>
    <tableColumn id="3" xr3:uid="{20634056-967B-4C12-AD3D-258B9B85A15F}" name=" TdCac" dataDxfId="7"/>
  </tableColumns>
  <tableStyleInfo name="TableStyleLight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AB438F0-0CC9-48B5-A183-8F8625D7A60D}" name="Table33" displayName="Table33" ref="BA3:BD32" totalsRowShown="0">
  <autoFilter ref="BA3:BD32" xr:uid="{AAB438F0-0CC9-48B5-A183-8F8625D7A60D}"/>
  <sortState xmlns:xlrd2="http://schemas.microsoft.com/office/spreadsheetml/2017/richdata2" ref="BA4:BC32">
    <sortCondition ref="BC3:BC32"/>
  </sortState>
  <tableColumns count="4">
    <tableColumn id="1" xr3:uid="{0233F601-39BD-44FC-84F9-9C65E7F1EB46}" name="Id"/>
    <tableColumn id="2" xr3:uid="{FCA3C414-0DD5-4ED6-B67D-536F1C03990F}" name=" Id "/>
    <tableColumn id="3" xr3:uid="{BA7EF6CE-B2C3-4D6E-B29F-57F91FB7CBBD}" name=" TdTps" dataDxfId="6"/>
    <tableColumn id="4" xr3:uid="{AAC62AD0-857F-4A1F-A6F1-30E61F772BBE}" name="TdTps  x10" dataDxfId="5">
      <calculatedColumnFormula>Table33[[#This Row],[ TdTps]]*10</calculatedColumnFormula>
    </tableColumn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9CD878E-EE9F-4FFE-8998-21EBB7B9D35C}" name="Table35" displayName="Table35" ref="AO52:AR92" totalsRowShown="0" dataDxfId="0">
  <autoFilter ref="AO52:AR92" xr:uid="{C9CD878E-EE9F-4FFE-8998-21EBB7B9D35C}"/>
  <sortState xmlns:xlrd2="http://schemas.microsoft.com/office/spreadsheetml/2017/richdata2" ref="AO53:AR92">
    <sortCondition ref="AR52:AR92"/>
  </sortState>
  <tableColumns count="4">
    <tableColumn id="1" xr3:uid="{16163938-B55D-4493-BB77-C0D3348EA2F9}" name=" Id " dataDxfId="4"/>
    <tableColumn id="2" xr3:uid="{1D538B4A-4F2B-471A-A869-CC6321624160}" name=" TdTps" dataDxfId="3"/>
    <tableColumn id="3" xr3:uid="{93DFB605-D0F0-4CE7-8F07-519EA83A617B}" name="TdTps  x10" dataDxfId="2">
      <calculatedColumnFormula>AP53*10</calculatedColumnFormula>
    </tableColumn>
    <tableColumn id="4" xr3:uid="{0C7DD527-F5F1-443D-9FF6-BD6345013530}" name=" TdCac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13" Type="http://schemas.openxmlformats.org/officeDocument/2006/relationships/table" Target="../tables/table26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2" Type="http://schemas.openxmlformats.org/officeDocument/2006/relationships/table" Target="../tables/table15.xml"/><Relationship Id="rId1" Type="http://schemas.openxmlformats.org/officeDocument/2006/relationships/drawing" Target="../drawings/drawing9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1.xml"/><Relationship Id="rId4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65D3-941B-4509-BD95-53FBCFEAE097}">
  <dimension ref="A1:AG50"/>
  <sheetViews>
    <sheetView zoomScale="55" zoomScaleNormal="55" workbookViewId="0">
      <selection activeCell="AC30" sqref="AC30"/>
    </sheetView>
  </sheetViews>
  <sheetFormatPr defaultRowHeight="14.4" x14ac:dyDescent="0.3"/>
  <cols>
    <col min="1" max="1" width="25.77734375" customWidth="1"/>
    <col min="3" max="3" width="5.5546875" customWidth="1"/>
    <col min="4" max="4" width="12.33203125" bestFit="1" customWidth="1"/>
    <col min="5" max="5" width="12.21875" customWidth="1"/>
    <col min="6" max="7" width="9" bestFit="1" customWidth="1"/>
    <col min="8" max="8" width="22.33203125" bestFit="1" customWidth="1"/>
    <col min="9" max="9" width="12.109375" customWidth="1"/>
    <col min="10" max="11" width="11" customWidth="1"/>
    <col min="12" max="13" width="10.6640625" customWidth="1"/>
    <col min="14" max="14" width="9.109375" customWidth="1"/>
    <col min="16" max="16" width="12" customWidth="1"/>
    <col min="25" max="25" width="11" customWidth="1"/>
    <col min="32" max="32" width="13.44140625" customWidth="1"/>
    <col min="33" max="33" width="12.77734375" customWidth="1"/>
  </cols>
  <sheetData>
    <row r="1" spans="1:32" ht="21" x14ac:dyDescent="0.3">
      <c r="A1" s="95" t="s">
        <v>47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32" x14ac:dyDescent="0.3">
      <c r="A2" s="97" t="s">
        <v>60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32" x14ac:dyDescent="0.3">
      <c r="A3" t="s">
        <v>0</v>
      </c>
      <c r="B3" t="s">
        <v>1</v>
      </c>
      <c r="C3" t="s">
        <v>61</v>
      </c>
      <c r="D3" s="1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s="1" t="s">
        <v>12</v>
      </c>
    </row>
    <row r="4" spans="1:32" x14ac:dyDescent="0.3">
      <c r="A4" s="45" t="s">
        <v>17</v>
      </c>
      <c r="B4" s="2" t="s">
        <v>15</v>
      </c>
      <c r="C4" s="2">
        <v>17</v>
      </c>
      <c r="D4" s="3">
        <v>67.347059999999999</v>
      </c>
      <c r="E4" s="2">
        <v>82.158820000000006</v>
      </c>
      <c r="F4" s="2">
        <v>12.89579</v>
      </c>
      <c r="G4" s="2">
        <v>13.90437</v>
      </c>
      <c r="H4" s="2">
        <v>1.0613699999999999</v>
      </c>
      <c r="I4" s="2">
        <v>10.678509999999999</v>
      </c>
      <c r="J4" s="2">
        <v>209.2</v>
      </c>
      <c r="K4" s="2">
        <v>215.4</v>
      </c>
      <c r="L4" s="2">
        <v>0</v>
      </c>
      <c r="M4" s="2">
        <v>0</v>
      </c>
      <c r="N4" s="3">
        <v>1E-4</v>
      </c>
      <c r="P4" s="26" t="s">
        <v>13</v>
      </c>
    </row>
    <row r="5" spans="1:32" x14ac:dyDescent="0.3">
      <c r="A5" s="45" t="s">
        <v>21</v>
      </c>
      <c r="B5" s="2" t="s">
        <v>15</v>
      </c>
      <c r="C5" s="2">
        <v>17</v>
      </c>
      <c r="D5" s="3">
        <v>180.29411999999999</v>
      </c>
      <c r="E5" s="2">
        <v>223.29411999999999</v>
      </c>
      <c r="F5" s="2">
        <v>34.686399999999999</v>
      </c>
      <c r="G5" s="2">
        <v>43.648789999999998</v>
      </c>
      <c r="H5" s="2">
        <v>1.2346600000000001</v>
      </c>
      <c r="I5" s="2">
        <v>0.69135000000000002</v>
      </c>
      <c r="J5" s="2">
        <v>556</v>
      </c>
      <c r="K5" s="2">
        <v>768</v>
      </c>
      <c r="L5" s="2">
        <v>0</v>
      </c>
      <c r="M5" s="2">
        <v>0</v>
      </c>
      <c r="N5" s="3">
        <v>2.5000000000000001E-4</v>
      </c>
      <c r="P5" s="26" t="s">
        <v>16</v>
      </c>
    </row>
    <row r="6" spans="1:32" x14ac:dyDescent="0.3">
      <c r="A6" s="45" t="s">
        <v>23</v>
      </c>
      <c r="B6" s="2" t="s">
        <v>15</v>
      </c>
      <c r="C6" s="2">
        <v>17</v>
      </c>
      <c r="D6" s="3">
        <v>183.34118000000001</v>
      </c>
      <c r="E6" s="2">
        <v>249.84706</v>
      </c>
      <c r="F6" s="2">
        <v>29.352779999999999</v>
      </c>
      <c r="G6" s="2">
        <v>38.262239999999998</v>
      </c>
      <c r="H6" s="2">
        <v>1.27816</v>
      </c>
      <c r="I6" s="2">
        <v>15.50774</v>
      </c>
      <c r="J6" s="2">
        <v>450.6</v>
      </c>
      <c r="K6" s="2">
        <v>606.5</v>
      </c>
      <c r="L6" s="2">
        <v>0</v>
      </c>
      <c r="M6" s="2">
        <v>0</v>
      </c>
      <c r="N6" s="3">
        <v>2.9E-4</v>
      </c>
      <c r="P6" s="26" t="s">
        <v>18</v>
      </c>
    </row>
    <row r="7" spans="1:32" x14ac:dyDescent="0.3">
      <c r="A7" s="45" t="s">
        <v>19</v>
      </c>
      <c r="B7" s="2" t="s">
        <v>15</v>
      </c>
      <c r="C7" s="2">
        <v>17</v>
      </c>
      <c r="D7" s="3">
        <v>8.276E-2</v>
      </c>
      <c r="E7" s="2">
        <v>0.10588</v>
      </c>
      <c r="F7" s="2">
        <v>1.102E-2</v>
      </c>
      <c r="G7" s="2">
        <v>1.3259999999999999E-2</v>
      </c>
      <c r="H7" s="2">
        <v>1.1797200000000001</v>
      </c>
      <c r="I7" s="2">
        <v>8.2400000000000008E-3</v>
      </c>
      <c r="J7" s="2">
        <v>0.156</v>
      </c>
      <c r="K7" s="2">
        <v>0.2</v>
      </c>
      <c r="L7" s="2">
        <v>0</v>
      </c>
      <c r="M7" s="2">
        <v>0</v>
      </c>
      <c r="N7" s="3">
        <v>2.9999999999999997E-4</v>
      </c>
      <c r="P7" s="26" t="s">
        <v>20</v>
      </c>
      <c r="AD7" s="86" t="s">
        <v>429</v>
      </c>
    </row>
    <row r="8" spans="1:32" x14ac:dyDescent="0.3">
      <c r="A8" s="45" t="s">
        <v>14</v>
      </c>
      <c r="B8" s="2" t="s">
        <v>15</v>
      </c>
      <c r="C8" s="2">
        <v>17</v>
      </c>
      <c r="D8" s="3">
        <v>5.1176500000000003</v>
      </c>
      <c r="E8" s="2">
        <v>6.2941200000000004</v>
      </c>
      <c r="F8" s="2">
        <v>0.73889000000000005</v>
      </c>
      <c r="G8" s="2">
        <v>0.84208000000000005</v>
      </c>
      <c r="H8" s="2">
        <v>1.0046299999999999</v>
      </c>
      <c r="I8" s="2">
        <v>1.1527799999999999</v>
      </c>
      <c r="J8" s="2">
        <v>13</v>
      </c>
      <c r="K8" s="2">
        <v>14</v>
      </c>
      <c r="L8" s="2">
        <v>0</v>
      </c>
      <c r="M8" s="2">
        <v>0</v>
      </c>
      <c r="N8" s="3">
        <v>9.987E-2</v>
      </c>
      <c r="P8" s="26" t="s">
        <v>22</v>
      </c>
    </row>
    <row r="9" spans="1:32" x14ac:dyDescent="0.3">
      <c r="A9" s="46" t="s">
        <v>23</v>
      </c>
      <c r="B9" s="4" t="s">
        <v>25</v>
      </c>
      <c r="C9" s="4">
        <v>48</v>
      </c>
      <c r="D9" s="5">
        <v>20.560420000000001</v>
      </c>
      <c r="E9" s="4">
        <v>38.545830000000002</v>
      </c>
      <c r="F9" s="4">
        <v>3.1774800000000001</v>
      </c>
      <c r="G9" s="4">
        <v>5.2272800000000004</v>
      </c>
      <c r="H9" s="4">
        <v>1.5223599999999999</v>
      </c>
      <c r="I9" s="4">
        <v>7.2455800000000004</v>
      </c>
      <c r="J9" s="4">
        <v>101.1</v>
      </c>
      <c r="K9" s="4">
        <v>156.6</v>
      </c>
      <c r="L9" s="4">
        <v>0</v>
      </c>
      <c r="M9" s="4">
        <v>0</v>
      </c>
      <c r="N9" s="5">
        <v>2.1000000000000001E-2</v>
      </c>
      <c r="P9" s="26" t="s">
        <v>24</v>
      </c>
    </row>
    <row r="10" spans="1:32" x14ac:dyDescent="0.3">
      <c r="A10" s="46" t="s">
        <v>19</v>
      </c>
      <c r="B10" s="4" t="s">
        <v>25</v>
      </c>
      <c r="C10" s="4">
        <v>48</v>
      </c>
      <c r="D10" s="5">
        <v>7.0000000000000001E-3</v>
      </c>
      <c r="E10" s="4">
        <v>1.3650000000000001E-2</v>
      </c>
      <c r="F10" s="4">
        <v>1E-3</v>
      </c>
      <c r="G10" s="4">
        <v>1.83E-3</v>
      </c>
      <c r="H10" s="4">
        <v>1.55677</v>
      </c>
      <c r="I10" s="4">
        <v>2.7499999999999998E-3</v>
      </c>
      <c r="J10" s="4">
        <v>2.5000000000000001E-2</v>
      </c>
      <c r="K10" s="4">
        <v>5.1999999999999998E-2</v>
      </c>
      <c r="L10" s="4">
        <v>0</v>
      </c>
      <c r="M10" s="4">
        <v>0</v>
      </c>
      <c r="N10" s="5">
        <v>0.11987</v>
      </c>
    </row>
    <row r="11" spans="1:32" ht="15" thickBot="1" x14ac:dyDescent="0.35">
      <c r="A11" s="46" t="s">
        <v>17</v>
      </c>
      <c r="B11" s="4" t="s">
        <v>25</v>
      </c>
      <c r="C11" s="4">
        <v>48</v>
      </c>
      <c r="D11" s="5">
        <v>0.18332999999999999</v>
      </c>
      <c r="E11" s="4">
        <v>0.46457999999999999</v>
      </c>
      <c r="F11" s="4">
        <v>8.856E-2</v>
      </c>
      <c r="G11" s="4">
        <v>0.14874000000000001</v>
      </c>
      <c r="H11" s="4">
        <v>1.3875500000000001</v>
      </c>
      <c r="I11" s="4">
        <v>0.2102</v>
      </c>
      <c r="J11" s="4">
        <v>3.1</v>
      </c>
      <c r="K11" s="4">
        <v>4.5</v>
      </c>
      <c r="L11" s="4">
        <v>0</v>
      </c>
      <c r="M11" s="4">
        <v>0</v>
      </c>
      <c r="N11" s="5">
        <v>0.15787000000000001</v>
      </c>
      <c r="P11" s="6" t="s">
        <v>26</v>
      </c>
      <c r="Y11" t="s">
        <v>396</v>
      </c>
      <c r="Z11" t="s">
        <v>397</v>
      </c>
      <c r="AA11" t="s">
        <v>398</v>
      </c>
    </row>
    <row r="12" spans="1:32" ht="15.6" x14ac:dyDescent="0.3">
      <c r="A12" s="46" t="s">
        <v>14</v>
      </c>
      <c r="B12" s="4" t="s">
        <v>25</v>
      </c>
      <c r="C12" s="4">
        <v>48</v>
      </c>
      <c r="D12" s="5">
        <v>4.1669999999999999E-2</v>
      </c>
      <c r="E12" s="4">
        <v>0.14582999999999999</v>
      </c>
      <c r="F12" s="4">
        <v>2.946E-2</v>
      </c>
      <c r="G12" s="4">
        <v>5.203E-2</v>
      </c>
      <c r="H12" s="4">
        <v>0.89129999999999998</v>
      </c>
      <c r="I12" s="4">
        <v>0.1087</v>
      </c>
      <c r="J12" s="4">
        <v>1</v>
      </c>
      <c r="K12" s="4">
        <v>1</v>
      </c>
      <c r="L12" s="4">
        <v>0</v>
      </c>
      <c r="M12" s="4">
        <v>0</v>
      </c>
      <c r="N12" s="5">
        <v>0.56996000000000002</v>
      </c>
      <c r="P12" s="7" t="s">
        <v>27</v>
      </c>
      <c r="Q12" s="8" t="s">
        <v>28</v>
      </c>
      <c r="R12" s="8" t="s">
        <v>29</v>
      </c>
      <c r="S12" s="8" t="s">
        <v>30</v>
      </c>
      <c r="T12" s="8" t="s">
        <v>31</v>
      </c>
      <c r="U12" s="8" t="s">
        <v>32</v>
      </c>
      <c r="V12" s="8" t="s">
        <v>33</v>
      </c>
      <c r="W12" s="9" t="s">
        <v>34</v>
      </c>
      <c r="Y12" s="49" t="s">
        <v>27</v>
      </c>
      <c r="Z12" s="50" t="s">
        <v>399</v>
      </c>
      <c r="AA12" s="50" t="s">
        <v>400</v>
      </c>
      <c r="AB12" s="50" t="s">
        <v>401</v>
      </c>
      <c r="AC12" s="50" t="s">
        <v>402</v>
      </c>
      <c r="AD12" s="50" t="s">
        <v>403</v>
      </c>
      <c r="AE12" s="50" t="s">
        <v>245</v>
      </c>
      <c r="AF12" s="80" t="s">
        <v>45</v>
      </c>
    </row>
    <row r="13" spans="1:32" x14ac:dyDescent="0.3">
      <c r="A13" s="46" t="s">
        <v>21</v>
      </c>
      <c r="B13" s="4" t="s">
        <v>25</v>
      </c>
      <c r="C13" s="4">
        <v>48</v>
      </c>
      <c r="D13" s="5">
        <v>0</v>
      </c>
      <c r="E13" s="4">
        <v>0</v>
      </c>
      <c r="F13" s="4">
        <v>0</v>
      </c>
      <c r="G13" s="4">
        <v>0</v>
      </c>
      <c r="H13" s="4" t="s">
        <v>33</v>
      </c>
      <c r="I13" s="4" t="s">
        <v>33</v>
      </c>
      <c r="J13" s="4">
        <v>0</v>
      </c>
      <c r="K13" s="4">
        <v>0</v>
      </c>
      <c r="L13" s="4">
        <v>0</v>
      </c>
      <c r="M13" s="4">
        <v>0</v>
      </c>
      <c r="N13" s="5">
        <v>1</v>
      </c>
      <c r="P13" s="10" t="s">
        <v>35</v>
      </c>
      <c r="Q13">
        <v>209</v>
      </c>
      <c r="R13">
        <v>386</v>
      </c>
      <c r="S13">
        <v>865</v>
      </c>
      <c r="T13">
        <v>1945</v>
      </c>
      <c r="U13">
        <v>2875</v>
      </c>
      <c r="V13">
        <v>0</v>
      </c>
      <c r="W13" s="11">
        <f>SUM(Q13:V13)</f>
        <v>6280</v>
      </c>
      <c r="Y13" s="10" t="s">
        <v>35</v>
      </c>
      <c r="Z13">
        <v>2964</v>
      </c>
      <c r="AA13">
        <v>3735</v>
      </c>
      <c r="AB13">
        <v>6600</v>
      </c>
      <c r="AC13">
        <v>11190</v>
      </c>
      <c r="AD13">
        <v>8649</v>
      </c>
      <c r="AE13">
        <v>0</v>
      </c>
      <c r="AF13" s="11">
        <f>SUM(Z13:AE13)</f>
        <v>33138</v>
      </c>
    </row>
    <row r="14" spans="1:32" x14ac:dyDescent="0.3">
      <c r="A14" s="26" t="s">
        <v>17</v>
      </c>
      <c r="B14" t="s">
        <v>37</v>
      </c>
      <c r="C14">
        <v>100</v>
      </c>
      <c r="D14" s="1">
        <v>18.693999999999999</v>
      </c>
      <c r="E14">
        <v>22.701000000000001</v>
      </c>
      <c r="F14">
        <v>3.7562500000000001</v>
      </c>
      <c r="G14">
        <v>4.2743399999999996</v>
      </c>
      <c r="H14">
        <v>1.1275999999999999</v>
      </c>
      <c r="I14">
        <v>1.6215900000000001</v>
      </c>
      <c r="J14">
        <v>209.2</v>
      </c>
      <c r="K14">
        <v>215.4</v>
      </c>
      <c r="L14">
        <v>0</v>
      </c>
      <c r="M14">
        <v>0</v>
      </c>
      <c r="N14" s="1">
        <v>0</v>
      </c>
      <c r="P14" s="10" t="s">
        <v>36</v>
      </c>
      <c r="Q14">
        <v>288</v>
      </c>
      <c r="R14">
        <v>483</v>
      </c>
      <c r="S14">
        <v>1098</v>
      </c>
      <c r="T14">
        <v>1920</v>
      </c>
      <c r="U14">
        <v>2491</v>
      </c>
      <c r="V14">
        <v>0</v>
      </c>
      <c r="W14" s="11">
        <f t="shared" ref="W14:W20" si="0">SUM(Q14:V14)</f>
        <v>6280</v>
      </c>
      <c r="Y14" s="10" t="s">
        <v>36</v>
      </c>
      <c r="Z14">
        <v>3387</v>
      </c>
      <c r="AA14">
        <v>4218</v>
      </c>
      <c r="AB14">
        <v>7394</v>
      </c>
      <c r="AC14">
        <v>11691</v>
      </c>
      <c r="AD14">
        <v>8491</v>
      </c>
      <c r="AE14">
        <v>0</v>
      </c>
      <c r="AF14" s="11">
        <f t="shared" ref="AF14:AF20" si="1">SUM(Z14:AE14)</f>
        <v>35181</v>
      </c>
    </row>
    <row r="15" spans="1:32" x14ac:dyDescent="0.3">
      <c r="A15" s="26" t="s">
        <v>21</v>
      </c>
      <c r="B15" t="s">
        <v>37</v>
      </c>
      <c r="C15">
        <v>100</v>
      </c>
      <c r="D15" s="1">
        <v>50.28</v>
      </c>
      <c r="E15">
        <v>58.79</v>
      </c>
      <c r="F15">
        <v>10.13663</v>
      </c>
      <c r="G15">
        <v>12.097950000000001</v>
      </c>
      <c r="H15">
        <v>1.1802999999999999</v>
      </c>
      <c r="I15">
        <v>-0.55542000000000002</v>
      </c>
      <c r="J15">
        <v>556</v>
      </c>
      <c r="K15">
        <v>768</v>
      </c>
      <c r="L15">
        <v>0</v>
      </c>
      <c r="M15">
        <v>0</v>
      </c>
      <c r="N15" s="1">
        <v>0</v>
      </c>
      <c r="P15" s="10" t="s">
        <v>38</v>
      </c>
      <c r="Q15">
        <v>75</v>
      </c>
      <c r="R15">
        <v>187</v>
      </c>
      <c r="S15">
        <v>593</v>
      </c>
      <c r="T15">
        <v>1822</v>
      </c>
      <c r="U15">
        <v>3603</v>
      </c>
      <c r="V15">
        <v>0</v>
      </c>
      <c r="W15" s="11">
        <f t="shared" si="0"/>
        <v>6280</v>
      </c>
      <c r="Y15" s="10" t="s">
        <v>38</v>
      </c>
      <c r="Z15">
        <v>2006</v>
      </c>
      <c r="AA15">
        <v>2754</v>
      </c>
      <c r="AB15">
        <v>5342</v>
      </c>
      <c r="AC15">
        <v>12665</v>
      </c>
      <c r="AD15">
        <v>10850</v>
      </c>
      <c r="AE15">
        <v>0</v>
      </c>
      <c r="AF15" s="11">
        <f t="shared" si="1"/>
        <v>33617</v>
      </c>
    </row>
    <row r="16" spans="1:32" x14ac:dyDescent="0.3">
      <c r="A16" s="26" t="s">
        <v>23</v>
      </c>
      <c r="B16" t="s">
        <v>37</v>
      </c>
      <c r="C16">
        <v>100</v>
      </c>
      <c r="D16" s="1">
        <v>75.879000000000005</v>
      </c>
      <c r="E16">
        <v>107.374</v>
      </c>
      <c r="F16">
        <v>8.8740500000000004</v>
      </c>
      <c r="G16">
        <v>11.3245</v>
      </c>
      <c r="H16">
        <v>1.2505500000000001</v>
      </c>
      <c r="I16">
        <v>12.4832</v>
      </c>
      <c r="J16">
        <v>450.6</v>
      </c>
      <c r="K16">
        <v>606.5</v>
      </c>
      <c r="L16">
        <v>0</v>
      </c>
      <c r="M16">
        <v>0</v>
      </c>
      <c r="N16" s="1">
        <v>0</v>
      </c>
      <c r="P16" s="12" t="s">
        <v>39</v>
      </c>
      <c r="Q16" s="13">
        <v>166</v>
      </c>
      <c r="R16" s="13">
        <v>315</v>
      </c>
      <c r="S16" s="13">
        <v>657</v>
      </c>
      <c r="T16" s="13">
        <v>1811</v>
      </c>
      <c r="U16" s="13">
        <v>3331</v>
      </c>
      <c r="V16" s="13">
        <v>0</v>
      </c>
      <c r="W16" s="11">
        <f t="shared" si="0"/>
        <v>6280</v>
      </c>
      <c r="Y16" s="12" t="s">
        <v>39</v>
      </c>
      <c r="Z16" s="13">
        <v>1173</v>
      </c>
      <c r="AA16" s="13">
        <v>1796</v>
      </c>
      <c r="AB16" s="13">
        <v>3260</v>
      </c>
      <c r="AC16" s="13">
        <v>6504</v>
      </c>
      <c r="AD16" s="13">
        <v>5512</v>
      </c>
      <c r="AE16" s="13">
        <v>0</v>
      </c>
      <c r="AF16" s="11">
        <f t="shared" si="1"/>
        <v>18245</v>
      </c>
    </row>
    <row r="17" spans="1:33" x14ac:dyDescent="0.3">
      <c r="A17" s="26" t="s">
        <v>19</v>
      </c>
      <c r="B17" t="s">
        <v>37</v>
      </c>
      <c r="C17">
        <v>100</v>
      </c>
      <c r="D17" s="1">
        <v>3.2129999999999999E-2</v>
      </c>
      <c r="E17">
        <v>4.385E-2</v>
      </c>
      <c r="F17">
        <v>3.8E-3</v>
      </c>
      <c r="G17">
        <v>4.5799999999999999E-3</v>
      </c>
      <c r="H17">
        <v>1.1742900000000001</v>
      </c>
      <c r="I17">
        <v>6.1199999999999996E-3</v>
      </c>
      <c r="J17">
        <v>0.156</v>
      </c>
      <c r="K17">
        <v>0.2</v>
      </c>
      <c r="L17">
        <v>0</v>
      </c>
      <c r="M17">
        <v>0</v>
      </c>
      <c r="N17" s="1">
        <v>4.0000000000000003E-5</v>
      </c>
      <c r="P17" s="14" t="s">
        <v>40</v>
      </c>
      <c r="Q17" s="4">
        <v>29</v>
      </c>
      <c r="R17" s="4">
        <v>72</v>
      </c>
      <c r="S17" s="4">
        <v>198</v>
      </c>
      <c r="T17" s="4">
        <v>613</v>
      </c>
      <c r="U17" s="4">
        <v>2154</v>
      </c>
      <c r="V17" s="4">
        <v>3214</v>
      </c>
      <c r="W17" s="11">
        <f t="shared" si="0"/>
        <v>6280</v>
      </c>
      <c r="Y17" s="14" t="s">
        <v>40</v>
      </c>
      <c r="Z17" s="4">
        <v>503</v>
      </c>
      <c r="AA17" s="4">
        <v>506</v>
      </c>
      <c r="AB17" s="4">
        <v>640</v>
      </c>
      <c r="AC17" s="4">
        <v>1402</v>
      </c>
      <c r="AD17" s="4">
        <v>1715</v>
      </c>
      <c r="AE17" s="4">
        <v>0</v>
      </c>
      <c r="AF17" s="11">
        <f t="shared" si="1"/>
        <v>4766</v>
      </c>
    </row>
    <row r="18" spans="1:33" x14ac:dyDescent="0.3">
      <c r="A18" s="26" t="s">
        <v>14</v>
      </c>
      <c r="B18" t="s">
        <v>37</v>
      </c>
      <c r="C18">
        <v>100</v>
      </c>
      <c r="D18" s="1">
        <v>1.66</v>
      </c>
      <c r="E18">
        <v>2.17</v>
      </c>
      <c r="F18">
        <v>0.26232</v>
      </c>
      <c r="G18">
        <v>0.3054</v>
      </c>
      <c r="H18">
        <v>1.09243</v>
      </c>
      <c r="I18">
        <v>0.35655999999999999</v>
      </c>
      <c r="J18">
        <v>13</v>
      </c>
      <c r="K18">
        <v>14</v>
      </c>
      <c r="L18">
        <v>0</v>
      </c>
      <c r="M18">
        <v>0</v>
      </c>
      <c r="N18" s="1">
        <v>8.4600000000000005E-3</v>
      </c>
      <c r="P18" s="15" t="s">
        <v>41</v>
      </c>
      <c r="Q18" s="16">
        <v>59</v>
      </c>
      <c r="R18" s="16">
        <v>201</v>
      </c>
      <c r="S18" s="16">
        <v>705</v>
      </c>
      <c r="T18" s="16">
        <v>1859</v>
      </c>
      <c r="U18" s="16">
        <v>3456</v>
      </c>
      <c r="V18" s="16">
        <v>0</v>
      </c>
      <c r="W18" s="11">
        <f t="shared" si="0"/>
        <v>6280</v>
      </c>
      <c r="Y18" s="15" t="s">
        <v>41</v>
      </c>
      <c r="Z18" s="16">
        <v>1371</v>
      </c>
      <c r="AA18" s="16">
        <v>1397</v>
      </c>
      <c r="AB18" s="16">
        <v>3069</v>
      </c>
      <c r="AC18" s="16">
        <v>8033</v>
      </c>
      <c r="AD18" s="16">
        <v>6814</v>
      </c>
      <c r="AE18" s="16">
        <v>0</v>
      </c>
      <c r="AF18" s="11">
        <f t="shared" si="1"/>
        <v>20684</v>
      </c>
    </row>
    <row r="19" spans="1:33" x14ac:dyDescent="0.3">
      <c r="A19" s="47" t="s">
        <v>21</v>
      </c>
      <c r="B19" s="18" t="s">
        <v>43</v>
      </c>
      <c r="C19" s="18">
        <v>23</v>
      </c>
      <c r="D19" s="19">
        <v>37.695650000000001</v>
      </c>
      <c r="E19" s="18">
        <v>41.304349999999999</v>
      </c>
      <c r="F19" s="18">
        <v>14.04133</v>
      </c>
      <c r="G19" s="18">
        <v>14.14629</v>
      </c>
      <c r="H19" s="18">
        <v>1.0065</v>
      </c>
      <c r="I19" s="18">
        <v>3.3636699999999999</v>
      </c>
      <c r="J19" s="18">
        <v>295</v>
      </c>
      <c r="K19" s="18">
        <v>300</v>
      </c>
      <c r="L19" s="18">
        <v>0</v>
      </c>
      <c r="M19" s="18">
        <v>0</v>
      </c>
      <c r="N19" s="19">
        <v>0</v>
      </c>
      <c r="P19" s="17" t="s">
        <v>42</v>
      </c>
      <c r="Q19" s="2">
        <v>110</v>
      </c>
      <c r="R19" s="2">
        <v>293</v>
      </c>
      <c r="S19" s="2">
        <v>521</v>
      </c>
      <c r="T19" s="2">
        <v>1965</v>
      </c>
      <c r="U19" s="2">
        <v>3391</v>
      </c>
      <c r="V19" s="2">
        <v>0</v>
      </c>
      <c r="W19" s="11">
        <f t="shared" si="0"/>
        <v>6280</v>
      </c>
      <c r="Y19" s="17" t="s">
        <v>42</v>
      </c>
      <c r="Z19" s="2">
        <v>2115</v>
      </c>
      <c r="AA19" s="2">
        <v>3274</v>
      </c>
      <c r="AB19" s="2">
        <v>6364</v>
      </c>
      <c r="AC19" s="2">
        <v>12934</v>
      </c>
      <c r="AD19" s="2">
        <v>10001</v>
      </c>
      <c r="AE19" s="2">
        <v>0</v>
      </c>
      <c r="AF19" s="11">
        <f t="shared" si="1"/>
        <v>34688</v>
      </c>
    </row>
    <row r="20" spans="1:33" ht="15" thickBot="1" x14ac:dyDescent="0.35">
      <c r="A20" s="47" t="s">
        <v>17</v>
      </c>
      <c r="B20" s="18" t="s">
        <v>43</v>
      </c>
      <c r="C20" s="18">
        <v>23</v>
      </c>
      <c r="D20" s="19">
        <v>14.586959999999999</v>
      </c>
      <c r="E20" s="18">
        <v>18.734780000000001</v>
      </c>
      <c r="F20" s="18">
        <v>4.8219599999999998</v>
      </c>
      <c r="G20" s="18">
        <v>5.48658</v>
      </c>
      <c r="H20" s="18">
        <v>1.1091</v>
      </c>
      <c r="I20" s="18">
        <v>2.5564300000000002</v>
      </c>
      <c r="J20" s="18">
        <v>98.4</v>
      </c>
      <c r="K20" s="18">
        <v>109.1</v>
      </c>
      <c r="L20" s="18">
        <v>0</v>
      </c>
      <c r="M20" s="18">
        <v>0</v>
      </c>
      <c r="N20" s="19">
        <v>4.2999999999999999E-4</v>
      </c>
      <c r="P20" s="10" t="s">
        <v>44</v>
      </c>
      <c r="Q20" s="20">
        <v>65</v>
      </c>
      <c r="R20" s="20">
        <v>149</v>
      </c>
      <c r="S20" s="20">
        <v>462</v>
      </c>
      <c r="T20" s="20">
        <v>1514</v>
      </c>
      <c r="U20" s="20">
        <v>4090</v>
      </c>
      <c r="V20" s="20">
        <v>0</v>
      </c>
      <c r="W20" s="21">
        <f t="shared" si="0"/>
        <v>6280</v>
      </c>
      <c r="Y20" s="10" t="s">
        <v>44</v>
      </c>
      <c r="Z20">
        <v>2029</v>
      </c>
      <c r="AA20">
        <v>2771</v>
      </c>
      <c r="AB20">
        <v>4974</v>
      </c>
      <c r="AC20">
        <v>11638</v>
      </c>
      <c r="AD20">
        <v>11151</v>
      </c>
      <c r="AE20">
        <v>0</v>
      </c>
      <c r="AF20" s="11">
        <f t="shared" si="1"/>
        <v>32563</v>
      </c>
    </row>
    <row r="21" spans="1:33" ht="16.8" thickTop="1" thickBot="1" x14ac:dyDescent="0.35">
      <c r="A21" s="47" t="s">
        <v>23</v>
      </c>
      <c r="B21" s="18" t="s">
        <v>43</v>
      </c>
      <c r="C21" s="18">
        <v>23</v>
      </c>
      <c r="D21" s="19">
        <v>103.11304</v>
      </c>
      <c r="E21" s="18">
        <v>141.19565</v>
      </c>
      <c r="F21" s="18">
        <v>16.122489999999999</v>
      </c>
      <c r="G21" s="18">
        <v>18.285920000000001</v>
      </c>
      <c r="H21" s="18">
        <v>1.07962</v>
      </c>
      <c r="I21" s="18">
        <v>29.873090000000001</v>
      </c>
      <c r="J21" s="18">
        <v>290.2</v>
      </c>
      <c r="K21" s="18">
        <v>319.7</v>
      </c>
      <c r="L21" s="18">
        <v>0</v>
      </c>
      <c r="M21" s="18">
        <v>0</v>
      </c>
      <c r="N21" s="19">
        <v>7.3400000000000002E-3</v>
      </c>
      <c r="P21" s="22" t="s">
        <v>45</v>
      </c>
      <c r="Q21" s="23">
        <f>SUM(Q13:Q20)</f>
        <v>1001</v>
      </c>
      <c r="R21" s="23">
        <f t="shared" ref="R21:W21" si="2">SUM(R13:R20)</f>
        <v>2086</v>
      </c>
      <c r="S21" s="23">
        <f t="shared" si="2"/>
        <v>5099</v>
      </c>
      <c r="T21" s="23">
        <f t="shared" si="2"/>
        <v>13449</v>
      </c>
      <c r="U21" s="23">
        <f t="shared" si="2"/>
        <v>25391</v>
      </c>
      <c r="V21" s="23">
        <f t="shared" si="2"/>
        <v>3214</v>
      </c>
      <c r="W21" s="24">
        <f t="shared" si="2"/>
        <v>50240</v>
      </c>
      <c r="Y21" s="79" t="s">
        <v>45</v>
      </c>
      <c r="Z21" s="78">
        <f>SUM(Z12:Z19)</f>
        <v>13519</v>
      </c>
      <c r="AA21" s="77">
        <f t="shared" ref="AA21:AF21" si="3">SUM(AA12:AA19)</f>
        <v>17680</v>
      </c>
      <c r="AB21" s="77">
        <f t="shared" si="3"/>
        <v>32669</v>
      </c>
      <c r="AC21" s="77">
        <f t="shared" si="3"/>
        <v>64419</v>
      </c>
      <c r="AD21" s="77">
        <f t="shared" si="3"/>
        <v>52032</v>
      </c>
      <c r="AE21" s="77">
        <f t="shared" si="3"/>
        <v>0</v>
      </c>
      <c r="AF21" s="81">
        <f t="shared" si="3"/>
        <v>180319</v>
      </c>
    </row>
    <row r="22" spans="1:33" ht="15.6" x14ac:dyDescent="0.3">
      <c r="A22" s="47" t="s">
        <v>19</v>
      </c>
      <c r="B22" s="18" t="s">
        <v>43</v>
      </c>
      <c r="C22" s="18">
        <v>23</v>
      </c>
      <c r="D22" s="19">
        <v>3.7519999999999998E-2</v>
      </c>
      <c r="E22" s="18">
        <v>5.2650000000000002E-2</v>
      </c>
      <c r="F22" s="18">
        <v>5.5300000000000002E-3</v>
      </c>
      <c r="G22" s="18">
        <v>7.0000000000000001E-3</v>
      </c>
      <c r="H22" s="18">
        <v>1.1939299999999999</v>
      </c>
      <c r="I22" s="18">
        <v>7.8499999999999993E-3</v>
      </c>
      <c r="J22" s="18">
        <v>9.7000000000000003E-2</v>
      </c>
      <c r="K22" s="18">
        <v>0.121</v>
      </c>
      <c r="L22" s="18">
        <v>0</v>
      </c>
      <c r="M22" s="18">
        <v>0</v>
      </c>
      <c r="N22" s="19">
        <v>1.291E-2</v>
      </c>
      <c r="Y22" s="76"/>
      <c r="AG22" s="82">
        <f>SUM(AF13:AF19)</f>
        <v>180319</v>
      </c>
    </row>
    <row r="23" spans="1:33" x14ac:dyDescent="0.3">
      <c r="A23" s="47" t="s">
        <v>14</v>
      </c>
      <c r="B23" s="18" t="s">
        <v>43</v>
      </c>
      <c r="C23" s="18">
        <v>23</v>
      </c>
      <c r="D23" s="19">
        <v>2.0434800000000002</v>
      </c>
      <c r="E23" s="18">
        <v>3.2608700000000002</v>
      </c>
      <c r="F23" s="18">
        <v>0.45217000000000002</v>
      </c>
      <c r="G23" s="18">
        <v>0.54247999999999996</v>
      </c>
      <c r="H23" s="18">
        <v>1.0786500000000001</v>
      </c>
      <c r="I23" s="18">
        <v>1.0566800000000001</v>
      </c>
      <c r="J23" s="18">
        <v>8</v>
      </c>
      <c r="K23" s="18">
        <v>10</v>
      </c>
      <c r="L23" s="18">
        <v>0</v>
      </c>
      <c r="M23" s="18">
        <v>0</v>
      </c>
      <c r="N23" s="19">
        <v>6.3119999999999996E-2</v>
      </c>
    </row>
    <row r="24" spans="1:33" x14ac:dyDescent="0.3">
      <c r="A24" s="48" t="s">
        <v>17</v>
      </c>
      <c r="B24" s="13" t="s">
        <v>46</v>
      </c>
      <c r="C24" s="13">
        <v>12</v>
      </c>
      <c r="D24" s="25">
        <v>31.683330000000002</v>
      </c>
      <c r="E24" s="13">
        <v>35.016669999999998</v>
      </c>
      <c r="F24" s="13">
        <v>14.47194</v>
      </c>
      <c r="G24" s="13">
        <v>15.46461</v>
      </c>
      <c r="H24" s="13">
        <v>1.06589</v>
      </c>
      <c r="I24" s="13">
        <v>1.24566</v>
      </c>
      <c r="J24" s="13">
        <v>128.6</v>
      </c>
      <c r="K24" s="13">
        <v>140.69999999999999</v>
      </c>
      <c r="L24" s="13">
        <v>0</v>
      </c>
      <c r="M24" s="13">
        <v>0</v>
      </c>
      <c r="N24" s="25">
        <v>0</v>
      </c>
    </row>
    <row r="25" spans="1:33" x14ac:dyDescent="0.3">
      <c r="A25" s="48" t="s">
        <v>21</v>
      </c>
      <c r="B25" s="13" t="s">
        <v>46</v>
      </c>
      <c r="C25" s="13">
        <v>12</v>
      </c>
      <c r="D25" s="25">
        <v>91.333330000000004</v>
      </c>
      <c r="E25" s="13">
        <v>94.416669999999996</v>
      </c>
      <c r="F25" s="13">
        <v>37.599310000000003</v>
      </c>
      <c r="G25" s="13">
        <v>40.825659999999999</v>
      </c>
      <c r="H25" s="13">
        <v>1.0769299999999999</v>
      </c>
      <c r="I25" s="13">
        <v>-3.9430100000000001</v>
      </c>
      <c r="J25" s="13">
        <v>360</v>
      </c>
      <c r="K25" s="13">
        <v>353</v>
      </c>
      <c r="L25" s="13">
        <v>0</v>
      </c>
      <c r="M25" s="13">
        <v>0</v>
      </c>
      <c r="N25" s="25">
        <v>3.0000000000000001E-5</v>
      </c>
    </row>
    <row r="26" spans="1:33" x14ac:dyDescent="0.3">
      <c r="A26" s="48" t="s">
        <v>23</v>
      </c>
      <c r="B26" s="13" t="s">
        <v>46</v>
      </c>
      <c r="C26" s="13">
        <v>12</v>
      </c>
      <c r="D26" s="25">
        <v>92.716669999999993</v>
      </c>
      <c r="E26" s="13">
        <v>116.02500000000001</v>
      </c>
      <c r="F26" s="13">
        <v>18.06156</v>
      </c>
      <c r="G26" s="13">
        <v>22.31757</v>
      </c>
      <c r="H26" s="13">
        <v>1.2041599999999999</v>
      </c>
      <c r="I26" s="13">
        <v>4.3794199999999996</v>
      </c>
      <c r="J26" s="13">
        <v>193.3</v>
      </c>
      <c r="K26" s="13">
        <v>245</v>
      </c>
      <c r="L26" s="13">
        <v>0</v>
      </c>
      <c r="M26" s="13">
        <v>0</v>
      </c>
      <c r="N26" s="25">
        <v>2.66E-3</v>
      </c>
    </row>
    <row r="27" spans="1:33" x14ac:dyDescent="0.3">
      <c r="A27" s="48" t="s">
        <v>14</v>
      </c>
      <c r="B27" s="13" t="s">
        <v>46</v>
      </c>
      <c r="C27" s="13">
        <v>12</v>
      </c>
      <c r="D27" s="25">
        <v>2.5</v>
      </c>
      <c r="E27" s="13">
        <v>2.3333300000000001</v>
      </c>
      <c r="F27" s="13">
        <v>0.87670000000000003</v>
      </c>
      <c r="G27" s="13">
        <v>0.76420999999999994</v>
      </c>
      <c r="H27" s="13">
        <v>0.82796000000000003</v>
      </c>
      <c r="I27" s="13">
        <v>0.26344000000000001</v>
      </c>
      <c r="J27" s="13">
        <v>8</v>
      </c>
      <c r="K27" s="13">
        <v>7</v>
      </c>
      <c r="L27" s="13">
        <v>0</v>
      </c>
      <c r="M27" s="13">
        <v>0</v>
      </c>
      <c r="N27" s="25">
        <v>1.9720000000000001E-2</v>
      </c>
    </row>
    <row r="28" spans="1:33" x14ac:dyDescent="0.3">
      <c r="A28" s="48" t="s">
        <v>19</v>
      </c>
      <c r="B28" s="13" t="s">
        <v>46</v>
      </c>
      <c r="C28" s="13">
        <v>12</v>
      </c>
      <c r="D28" s="25">
        <v>5.058E-2</v>
      </c>
      <c r="E28" s="13">
        <v>5.9920000000000001E-2</v>
      </c>
      <c r="F28" s="13">
        <v>1.106E-2</v>
      </c>
      <c r="G28" s="13">
        <v>1.1209999999999999E-2</v>
      </c>
      <c r="H28" s="13">
        <v>0.94321999999999995</v>
      </c>
      <c r="I28" s="13">
        <v>1.221E-2</v>
      </c>
      <c r="J28" s="13">
        <v>0.113</v>
      </c>
      <c r="K28" s="13">
        <v>0.121</v>
      </c>
      <c r="L28" s="13">
        <v>0</v>
      </c>
      <c r="M28" s="13">
        <v>0</v>
      </c>
      <c r="N28" s="25">
        <v>4.2860000000000002E-2</v>
      </c>
    </row>
    <row r="30" spans="1:33" ht="27" x14ac:dyDescent="0.3">
      <c r="A30" s="27" t="s">
        <v>48</v>
      </c>
    </row>
    <row r="31" spans="1:33" ht="16.8" x14ac:dyDescent="0.3">
      <c r="A31" s="28" t="s">
        <v>49</v>
      </c>
    </row>
    <row r="32" spans="1:33" ht="16.8" x14ac:dyDescent="0.3">
      <c r="A32" s="29" t="s">
        <v>50</v>
      </c>
    </row>
    <row r="33" spans="1:2" ht="16.8" x14ac:dyDescent="0.3">
      <c r="A33" s="28" t="s">
        <v>51</v>
      </c>
    </row>
    <row r="34" spans="1:2" ht="16.8" x14ac:dyDescent="0.3">
      <c r="A34" s="28" t="s">
        <v>52</v>
      </c>
    </row>
    <row r="35" spans="1:2" ht="16.8" x14ac:dyDescent="0.3">
      <c r="A35" s="30" t="s">
        <v>53</v>
      </c>
    </row>
    <row r="36" spans="1:2" ht="16.8" x14ac:dyDescent="0.3">
      <c r="A36" s="30" t="s">
        <v>54</v>
      </c>
    </row>
    <row r="38" spans="1:2" ht="16.8" x14ac:dyDescent="0.3">
      <c r="A38" s="28" t="s">
        <v>55</v>
      </c>
    </row>
    <row r="39" spans="1:2" ht="16.8" x14ac:dyDescent="0.3">
      <c r="A39" s="30" t="s">
        <v>56</v>
      </c>
    </row>
    <row r="40" spans="1:2" ht="16.8" x14ac:dyDescent="0.3">
      <c r="A40" s="30" t="s">
        <v>57</v>
      </c>
    </row>
    <row r="41" spans="1:2" ht="16.8" x14ac:dyDescent="0.3">
      <c r="A41" s="30" t="s">
        <v>58</v>
      </c>
    </row>
    <row r="42" spans="1:2" ht="16.8" x14ac:dyDescent="0.3">
      <c r="A42" s="30" t="s">
        <v>59</v>
      </c>
    </row>
    <row r="45" spans="1:2" ht="16.8" x14ac:dyDescent="0.3">
      <c r="A45" s="44" t="s">
        <v>130</v>
      </c>
      <c r="B45" t="s">
        <v>131</v>
      </c>
    </row>
    <row r="46" spans="1:2" ht="18" x14ac:dyDescent="0.3">
      <c r="A46" s="38" t="s">
        <v>133</v>
      </c>
      <c r="B46" s="13">
        <v>12</v>
      </c>
    </row>
    <row r="47" spans="1:2" ht="20.399999999999999" x14ac:dyDescent="0.3">
      <c r="A47" s="39" t="s">
        <v>132</v>
      </c>
      <c r="B47" s="40">
        <v>48</v>
      </c>
    </row>
    <row r="48" spans="1:2" ht="20.399999999999999" x14ac:dyDescent="0.3">
      <c r="A48" s="41" t="s">
        <v>135</v>
      </c>
      <c r="B48" s="18">
        <v>23</v>
      </c>
    </row>
    <row r="49" spans="1:2" ht="20.399999999999999" x14ac:dyDescent="0.3">
      <c r="A49" s="42" t="s">
        <v>134</v>
      </c>
      <c r="B49" s="43">
        <v>17</v>
      </c>
    </row>
    <row r="50" spans="1:2" ht="20.399999999999999" x14ac:dyDescent="0.3">
      <c r="A50" s="30" t="s">
        <v>136</v>
      </c>
      <c r="B50">
        <v>100</v>
      </c>
    </row>
  </sheetData>
  <mergeCells count="2">
    <mergeCell ref="A1:N1"/>
    <mergeCell ref="A2:L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5B0F-D54B-4958-A031-6E771B8D934E}">
  <dimension ref="A1:AB55"/>
  <sheetViews>
    <sheetView zoomScale="40" zoomScaleNormal="40" workbookViewId="0">
      <selection activeCell="W27" sqref="W27"/>
    </sheetView>
  </sheetViews>
  <sheetFormatPr defaultRowHeight="14.4" x14ac:dyDescent="0.3"/>
  <cols>
    <col min="2" max="2" width="19.21875" customWidth="1"/>
    <col min="3" max="3" width="14.33203125" customWidth="1"/>
    <col min="15" max="15" width="9.5546875" customWidth="1"/>
    <col min="16" max="16" width="19.21875" customWidth="1"/>
    <col min="27" max="27" width="9.5546875" customWidth="1"/>
  </cols>
  <sheetData>
    <row r="1" spans="1:28" x14ac:dyDescent="0.3">
      <c r="A1" t="s">
        <v>150</v>
      </c>
      <c r="B1" t="s">
        <v>150</v>
      </c>
      <c r="C1" t="s">
        <v>441</v>
      </c>
      <c r="N1" t="s">
        <v>150</v>
      </c>
      <c r="O1" t="s">
        <v>150</v>
      </c>
      <c r="P1" t="s">
        <v>461</v>
      </c>
      <c r="Z1" t="s">
        <v>150</v>
      </c>
      <c r="AA1" t="s">
        <v>150</v>
      </c>
      <c r="AB1" t="s">
        <v>465</v>
      </c>
    </row>
    <row r="2" spans="1:28" x14ac:dyDescent="0.3">
      <c r="A2" t="s">
        <v>150</v>
      </c>
      <c r="B2" t="s">
        <v>150</v>
      </c>
      <c r="C2" t="s">
        <v>442</v>
      </c>
      <c r="N2" t="s">
        <v>150</v>
      </c>
      <c r="O2" t="s">
        <v>150</v>
      </c>
      <c r="P2" t="s">
        <v>462</v>
      </c>
      <c r="Z2" t="s">
        <v>150</v>
      </c>
      <c r="AA2" t="s">
        <v>150</v>
      </c>
      <c r="AB2" t="s">
        <v>466</v>
      </c>
    </row>
    <row r="3" spans="1:28" x14ac:dyDescent="0.3">
      <c r="A3" t="s">
        <v>153</v>
      </c>
      <c r="B3" t="s">
        <v>443</v>
      </c>
      <c r="C3" t="s">
        <v>444</v>
      </c>
      <c r="N3" t="s">
        <v>153</v>
      </c>
      <c r="O3" t="s">
        <v>463</v>
      </c>
      <c r="P3" t="s">
        <v>464</v>
      </c>
      <c r="Z3" t="s">
        <v>153</v>
      </c>
      <c r="AA3" t="s">
        <v>463</v>
      </c>
      <c r="AB3" t="s">
        <v>467</v>
      </c>
    </row>
    <row r="4" spans="1:28" x14ac:dyDescent="0.3">
      <c r="A4">
        <v>81</v>
      </c>
      <c r="B4">
        <v>3.8729833462074099</v>
      </c>
      <c r="C4">
        <v>55.797630484028602</v>
      </c>
      <c r="N4">
        <v>45</v>
      </c>
      <c r="O4">
        <v>13.513407333964899</v>
      </c>
      <c r="P4">
        <v>2.20245416386603</v>
      </c>
      <c r="Z4">
        <v>76</v>
      </c>
      <c r="AA4">
        <v>0.93356645079507306</v>
      </c>
      <c r="AB4">
        <v>1.6509249299241</v>
      </c>
    </row>
    <row r="5" spans="1:28" x14ac:dyDescent="0.3">
      <c r="A5">
        <v>87</v>
      </c>
      <c r="B5">
        <v>2.4494897427831699</v>
      </c>
      <c r="C5">
        <v>17.674686793046799</v>
      </c>
      <c r="N5">
        <v>6</v>
      </c>
      <c r="O5">
        <v>5.4883738584803696</v>
      </c>
      <c r="P5">
        <v>1.03710286936914</v>
      </c>
      <c r="Z5">
        <v>78</v>
      </c>
      <c r="AA5">
        <v>0.96976665571058895</v>
      </c>
      <c r="AB5">
        <v>3.8452244952874901</v>
      </c>
    </row>
    <row r="6" spans="1:28" x14ac:dyDescent="0.3">
      <c r="A6">
        <v>92</v>
      </c>
      <c r="B6">
        <v>1.4696938456699</v>
      </c>
      <c r="C6">
        <v>8.24825728613291</v>
      </c>
      <c r="N6">
        <v>27</v>
      </c>
      <c r="O6">
        <v>7.0702154994970599</v>
      </c>
      <c r="P6">
        <v>0.86230320874935995</v>
      </c>
      <c r="Z6">
        <v>64</v>
      </c>
      <c r="AA6">
        <v>1.0266371224975599</v>
      </c>
      <c r="AB6">
        <v>11.260086185313799</v>
      </c>
    </row>
    <row r="7" spans="1:28" x14ac:dyDescent="0.3">
      <c r="A7">
        <v>77</v>
      </c>
      <c r="B7">
        <v>-0.42857142857142799</v>
      </c>
      <c r="C7">
        <v>5.0428373549405903</v>
      </c>
      <c r="N7">
        <v>44</v>
      </c>
      <c r="O7">
        <v>4.7048940953586698</v>
      </c>
      <c r="P7">
        <v>0.71476791073249502</v>
      </c>
      <c r="Z7">
        <v>87</v>
      </c>
      <c r="AA7">
        <v>1.1859527754741701</v>
      </c>
      <c r="AB7">
        <v>35.349373586093698</v>
      </c>
    </row>
    <row r="8" spans="1:28" x14ac:dyDescent="0.3">
      <c r="A8">
        <v>91</v>
      </c>
      <c r="B8">
        <v>1.2</v>
      </c>
      <c r="C8">
        <v>3.3682198342465299</v>
      </c>
      <c r="N8">
        <v>36</v>
      </c>
      <c r="O8">
        <v>2.9902603714766598</v>
      </c>
      <c r="P8">
        <v>0.47687047615817102</v>
      </c>
      <c r="Z8">
        <v>97</v>
      </c>
      <c r="AA8">
        <v>1.5214245616098601</v>
      </c>
      <c r="AB8">
        <v>4.9925448702448296</v>
      </c>
    </row>
    <row r="9" spans="1:28" x14ac:dyDescent="0.3">
      <c r="A9">
        <v>64</v>
      </c>
      <c r="B9">
        <v>0.35355339059327301</v>
      </c>
      <c r="C9">
        <v>2.8150215463284498</v>
      </c>
      <c r="N9">
        <v>24</v>
      </c>
      <c r="O9">
        <v>1.2555454209550201</v>
      </c>
      <c r="P9">
        <v>0.450281064967611</v>
      </c>
      <c r="Z9">
        <v>96</v>
      </c>
      <c r="AA9">
        <v>1.6475077626477199</v>
      </c>
      <c r="AB9">
        <v>2.1458240757226399</v>
      </c>
    </row>
    <row r="10" spans="1:28" x14ac:dyDescent="0.3">
      <c r="A10">
        <v>90</v>
      </c>
      <c r="B10">
        <v>0.45643546458763801</v>
      </c>
      <c r="C10">
        <v>1.8963810885644501</v>
      </c>
      <c r="N10">
        <v>42</v>
      </c>
      <c r="O10">
        <v>0.58268028285003703</v>
      </c>
      <c r="P10">
        <v>0.43071987927183703</v>
      </c>
      <c r="Z10">
        <v>81</v>
      </c>
      <c r="AA10">
        <v>1.6703211594615599</v>
      </c>
      <c r="AB10">
        <v>55.797630484028602</v>
      </c>
    </row>
    <row r="11" spans="1:28" x14ac:dyDescent="0.3">
      <c r="A11">
        <v>63</v>
      </c>
      <c r="B11">
        <v>-0.23570226039551501</v>
      </c>
      <c r="C11">
        <v>1.2506265870867601</v>
      </c>
      <c r="N11">
        <v>21</v>
      </c>
      <c r="O11">
        <v>1.6216092786808101</v>
      </c>
      <c r="P11">
        <v>0.35585774656590802</v>
      </c>
      <c r="Z11">
        <v>82</v>
      </c>
      <c r="AA11">
        <v>1.77096800717088</v>
      </c>
      <c r="AB11">
        <v>5.2423128931211203</v>
      </c>
    </row>
    <row r="12" spans="1:28" x14ac:dyDescent="0.3">
      <c r="A12">
        <v>57</v>
      </c>
      <c r="B12">
        <v>0.5</v>
      </c>
      <c r="C12">
        <v>0.85475564567572704</v>
      </c>
      <c r="N12">
        <v>31</v>
      </c>
      <c r="O12">
        <v>0.69086586625928403</v>
      </c>
      <c r="P12">
        <v>0.33929845126619201</v>
      </c>
      <c r="Z12">
        <v>85</v>
      </c>
      <c r="AA12">
        <v>1.82693860112379</v>
      </c>
      <c r="AB12">
        <v>5.3028537083223801</v>
      </c>
    </row>
    <row r="13" spans="1:28" x14ac:dyDescent="0.3">
      <c r="A13">
        <v>97</v>
      </c>
      <c r="B13">
        <v>1.2777531299998699</v>
      </c>
      <c r="C13">
        <v>0.71322069574926095</v>
      </c>
      <c r="N13">
        <v>22</v>
      </c>
      <c r="O13">
        <v>0.5</v>
      </c>
      <c r="P13">
        <v>0.33844839669300403</v>
      </c>
      <c r="Z13">
        <v>99</v>
      </c>
      <c r="AA13">
        <v>1.8904726185289</v>
      </c>
      <c r="AB13">
        <v>2.0510716888963598</v>
      </c>
    </row>
    <row r="14" spans="1:28" x14ac:dyDescent="0.3">
      <c r="A14">
        <v>71</v>
      </c>
      <c r="B14">
        <v>1.2247448713915801</v>
      </c>
      <c r="C14">
        <v>0.67845772442836105</v>
      </c>
      <c r="N14">
        <v>40</v>
      </c>
      <c r="O14">
        <v>1.7780308680017001</v>
      </c>
      <c r="P14">
        <v>0.33589402159097298</v>
      </c>
      <c r="Z14">
        <v>94</v>
      </c>
      <c r="AA14">
        <v>2.0565490951229899</v>
      </c>
      <c r="AB14">
        <v>3.6975154679172699</v>
      </c>
    </row>
    <row r="15" spans="1:28" x14ac:dyDescent="0.3">
      <c r="A15">
        <v>61</v>
      </c>
      <c r="B15">
        <v>0.25</v>
      </c>
      <c r="C15">
        <v>0.47124046163256</v>
      </c>
      <c r="N15">
        <v>18</v>
      </c>
      <c r="O15">
        <v>1.0689930831830301</v>
      </c>
      <c r="P15">
        <v>0.32378595108228198</v>
      </c>
      <c r="Z15">
        <v>57</v>
      </c>
      <c r="AA15">
        <v>2.1462626022611202</v>
      </c>
      <c r="AB15">
        <v>1.7095112913514501</v>
      </c>
    </row>
    <row r="16" spans="1:28" x14ac:dyDescent="0.3">
      <c r="A16">
        <v>88</v>
      </c>
      <c r="B16">
        <v>0.52704627669472903</v>
      </c>
      <c r="C16">
        <v>0.45185591496501698</v>
      </c>
      <c r="N16">
        <v>60</v>
      </c>
      <c r="O16">
        <v>0.74188197315272697</v>
      </c>
      <c r="P16">
        <v>0.31324617947098699</v>
      </c>
      <c r="Z16">
        <v>98</v>
      </c>
      <c r="AA16">
        <v>2.1843899546479801</v>
      </c>
      <c r="AB16">
        <v>3.5578537245839601</v>
      </c>
    </row>
    <row r="17" spans="1:28" x14ac:dyDescent="0.3">
      <c r="A17">
        <v>72</v>
      </c>
      <c r="B17">
        <v>0.48989794855663499</v>
      </c>
      <c r="C17">
        <v>0.39800968052952901</v>
      </c>
      <c r="N17">
        <v>5</v>
      </c>
      <c r="O17">
        <v>1.4952285205156799</v>
      </c>
      <c r="P17">
        <v>0.30254721807623502</v>
      </c>
      <c r="Z17">
        <v>79</v>
      </c>
      <c r="AA17">
        <v>2.19341642216351</v>
      </c>
      <c r="AB17">
        <v>1.0432096687204899</v>
      </c>
    </row>
    <row r="18" spans="1:28" x14ac:dyDescent="0.3">
      <c r="A18">
        <v>95</v>
      </c>
      <c r="B18">
        <v>0.41573970964154899</v>
      </c>
      <c r="C18">
        <v>0.39332501368916301</v>
      </c>
      <c r="N18">
        <v>41</v>
      </c>
      <c r="O18">
        <v>1.8360039553221701</v>
      </c>
      <c r="P18">
        <v>0.28034561425799298</v>
      </c>
      <c r="Z18">
        <v>74</v>
      </c>
      <c r="AA18">
        <v>2.2890908892788602</v>
      </c>
      <c r="AB18">
        <v>0.55329475566511199</v>
      </c>
    </row>
    <row r="19" spans="1:28" x14ac:dyDescent="0.3">
      <c r="A19">
        <v>73</v>
      </c>
      <c r="B19">
        <v>0.24494897427831699</v>
      </c>
      <c r="C19">
        <v>0.30366742927129098</v>
      </c>
      <c r="N19">
        <v>13</v>
      </c>
      <c r="O19">
        <v>2.0022247538746898</v>
      </c>
      <c r="P19">
        <v>0.27870832873270301</v>
      </c>
      <c r="Z19">
        <v>100</v>
      </c>
      <c r="AA19">
        <v>2.3328494051809101</v>
      </c>
      <c r="AB19">
        <v>4.7148140832379299</v>
      </c>
    </row>
    <row r="20" spans="1:28" x14ac:dyDescent="0.3">
      <c r="A20">
        <v>67</v>
      </c>
      <c r="B20">
        <v>0.43301270189221902</v>
      </c>
      <c r="C20">
        <v>0.25</v>
      </c>
      <c r="N20">
        <v>33</v>
      </c>
      <c r="O20">
        <v>1.3534766599671799</v>
      </c>
      <c r="P20">
        <v>0.27679758218377398</v>
      </c>
      <c r="Z20">
        <v>71</v>
      </c>
      <c r="AA20">
        <v>2.36939090062645</v>
      </c>
      <c r="AB20">
        <v>1.3569154488567201</v>
      </c>
    </row>
    <row r="21" spans="1:28" x14ac:dyDescent="0.3">
      <c r="A21">
        <v>78</v>
      </c>
      <c r="B21">
        <v>0.21650635094610901</v>
      </c>
      <c r="C21">
        <v>0.24032653095546799</v>
      </c>
      <c r="N21">
        <v>4</v>
      </c>
      <c r="O21">
        <v>0.42773984632091899</v>
      </c>
      <c r="P21">
        <v>0.27519367185629201</v>
      </c>
      <c r="Z21">
        <v>90</v>
      </c>
      <c r="AA21">
        <v>2.4739247953910399</v>
      </c>
      <c r="AB21">
        <v>22.756573062773501</v>
      </c>
    </row>
    <row r="22" spans="1:28" x14ac:dyDescent="0.3">
      <c r="A22">
        <v>83</v>
      </c>
      <c r="B22">
        <v>0.15971914124998399</v>
      </c>
      <c r="C22">
        <v>0.20398056720791699</v>
      </c>
      <c r="N22">
        <v>37</v>
      </c>
      <c r="O22">
        <v>0.46718466342889597</v>
      </c>
      <c r="P22">
        <v>0.27462152778238402</v>
      </c>
      <c r="Z22">
        <v>66</v>
      </c>
      <c r="AA22">
        <v>2.5387141651918199</v>
      </c>
      <c r="AB22">
        <v>-1.74648457374294</v>
      </c>
    </row>
    <row r="23" spans="1:28" x14ac:dyDescent="0.3">
      <c r="A23">
        <v>82</v>
      </c>
      <c r="B23">
        <v>0.148148148148148</v>
      </c>
      <c r="C23">
        <v>0.194159736782263</v>
      </c>
      <c r="N23">
        <v>1</v>
      </c>
      <c r="O23">
        <v>0.98480442772704402</v>
      </c>
      <c r="P23">
        <v>0.27329074419430399</v>
      </c>
      <c r="Z23">
        <v>93</v>
      </c>
      <c r="AA23">
        <v>2.61924183178817</v>
      </c>
      <c r="AB23">
        <v>4.7877717154122301</v>
      </c>
    </row>
    <row r="24" spans="1:28" x14ac:dyDescent="0.3">
      <c r="A24">
        <v>75</v>
      </c>
      <c r="B24">
        <v>0.24494897427831699</v>
      </c>
      <c r="C24">
        <v>0.17797429696227601</v>
      </c>
      <c r="N24">
        <v>38</v>
      </c>
      <c r="O24">
        <v>1.1219645718307201</v>
      </c>
      <c r="P24">
        <v>0.26222302302371697</v>
      </c>
      <c r="Z24">
        <v>84</v>
      </c>
      <c r="AA24">
        <v>2.6644995105181399</v>
      </c>
      <c r="AB24">
        <v>0.95985854692558203</v>
      </c>
    </row>
    <row r="25" spans="1:28" x14ac:dyDescent="0.3">
      <c r="A25">
        <v>85</v>
      </c>
      <c r="B25">
        <v>0.14426245016127601</v>
      </c>
      <c r="C25">
        <v>0.171059797042657</v>
      </c>
      <c r="N25">
        <v>9</v>
      </c>
      <c r="O25">
        <v>0.56006862334195295</v>
      </c>
      <c r="P25">
        <v>0.25039672633785198</v>
      </c>
      <c r="Z25">
        <v>88</v>
      </c>
      <c r="AA25">
        <v>2.7347921573965901</v>
      </c>
      <c r="AB25">
        <v>5.42227097958021</v>
      </c>
    </row>
    <row r="26" spans="1:28" x14ac:dyDescent="0.3">
      <c r="A26">
        <v>93</v>
      </c>
      <c r="B26">
        <v>0.225806451612903</v>
      </c>
      <c r="C26">
        <v>0.154444248884265</v>
      </c>
      <c r="N26">
        <v>46</v>
      </c>
      <c r="O26">
        <v>1.4011571585570699</v>
      </c>
      <c r="P26">
        <v>0.242974413658405</v>
      </c>
      <c r="Z26">
        <v>92</v>
      </c>
      <c r="AA26">
        <v>2.92758440395093</v>
      </c>
      <c r="AB26">
        <v>41.241286430664502</v>
      </c>
    </row>
    <row r="27" spans="1:28" x14ac:dyDescent="0.3">
      <c r="A27">
        <v>70</v>
      </c>
      <c r="B27">
        <v>0.25</v>
      </c>
      <c r="C27">
        <v>0.147406198104922</v>
      </c>
      <c r="N27">
        <v>8</v>
      </c>
      <c r="O27">
        <v>3.0239042243240601</v>
      </c>
      <c r="P27">
        <v>0.23255927948178801</v>
      </c>
      <c r="Z27">
        <v>95</v>
      </c>
      <c r="AA27">
        <v>2.9692156844279798</v>
      </c>
      <c r="AB27">
        <v>7.0798502464049404</v>
      </c>
    </row>
    <row r="28" spans="1:28" x14ac:dyDescent="0.3">
      <c r="A28">
        <v>100</v>
      </c>
      <c r="B28">
        <v>0.38544964466377202</v>
      </c>
      <c r="C28">
        <v>0.134708973806798</v>
      </c>
      <c r="N28">
        <v>12</v>
      </c>
      <c r="O28">
        <v>0.56529289898435398</v>
      </c>
      <c r="P28">
        <v>0.217948019549455</v>
      </c>
      <c r="Z28">
        <v>63</v>
      </c>
      <c r="AA28">
        <v>3.1840236711562202</v>
      </c>
      <c r="AB28">
        <v>-7.5037595225205598</v>
      </c>
    </row>
    <row r="29" spans="1:28" x14ac:dyDescent="0.3">
      <c r="A29">
        <v>62</v>
      </c>
      <c r="B29">
        <v>7.1428571428571397E-2</v>
      </c>
      <c r="C29">
        <v>0.11852128528832701</v>
      </c>
      <c r="N29">
        <v>20</v>
      </c>
      <c r="O29">
        <v>2.05813092065369</v>
      </c>
      <c r="P29">
        <v>0.20547525739765601</v>
      </c>
      <c r="Z29">
        <v>77</v>
      </c>
      <c r="AA29">
        <v>3.75465903074095</v>
      </c>
      <c r="AB29">
        <v>-35.299861484584099</v>
      </c>
    </row>
    <row r="30" spans="1:28" x14ac:dyDescent="0.3">
      <c r="A30">
        <v>74</v>
      </c>
      <c r="B30">
        <v>0.48989794855663499</v>
      </c>
      <c r="C30">
        <v>0.110658951133022</v>
      </c>
      <c r="N30">
        <v>34</v>
      </c>
      <c r="O30">
        <v>1.33098921793891</v>
      </c>
      <c r="P30">
        <v>0.20459606275530501</v>
      </c>
      <c r="Z30">
        <v>70</v>
      </c>
      <c r="AA30">
        <v>3.8084673440058698</v>
      </c>
      <c r="AB30">
        <v>1.17924958483937</v>
      </c>
    </row>
    <row r="31" spans="1:28" x14ac:dyDescent="0.3">
      <c r="A31">
        <v>66</v>
      </c>
      <c r="B31">
        <v>-7.4432292756478696E-2</v>
      </c>
      <c r="C31">
        <v>9.1920240723312702E-2</v>
      </c>
      <c r="N31">
        <v>10</v>
      </c>
      <c r="O31">
        <v>1.6964970459034301</v>
      </c>
      <c r="P31">
        <v>0.17692594089590999</v>
      </c>
      <c r="Z31">
        <v>61</v>
      </c>
      <c r="AA31">
        <v>4.0334369756325703</v>
      </c>
      <c r="AB31">
        <v>1.88496184653024</v>
      </c>
    </row>
    <row r="32" spans="1:28" x14ac:dyDescent="0.3">
      <c r="A32">
        <v>86</v>
      </c>
      <c r="B32">
        <v>0.113929755478287</v>
      </c>
      <c r="C32">
        <v>8.6909844224222099E-2</v>
      </c>
      <c r="N32">
        <v>3</v>
      </c>
      <c r="O32">
        <v>0.54477708579998796</v>
      </c>
      <c r="P32">
        <v>0.17462497971266899</v>
      </c>
      <c r="Z32">
        <v>73</v>
      </c>
      <c r="AA32">
        <v>4.3470310224889204</v>
      </c>
      <c r="AB32">
        <v>3.03667429271291</v>
      </c>
    </row>
    <row r="33" spans="1:28" x14ac:dyDescent="0.3">
      <c r="A33">
        <v>98</v>
      </c>
      <c r="B33">
        <v>0.171894017037416</v>
      </c>
      <c r="C33">
        <v>6.24184863962099E-2</v>
      </c>
      <c r="N33">
        <v>39</v>
      </c>
      <c r="O33">
        <v>1.10069142891592</v>
      </c>
      <c r="P33">
        <v>0.16908241401316801</v>
      </c>
      <c r="Z33">
        <v>86</v>
      </c>
      <c r="AA33">
        <v>4.3662567411801296</v>
      </c>
      <c r="AB33">
        <v>3.7371233016415499</v>
      </c>
    </row>
    <row r="34" spans="1:28" x14ac:dyDescent="0.3">
      <c r="A34">
        <v>94</v>
      </c>
      <c r="B34">
        <v>0.124721912892464</v>
      </c>
      <c r="C34">
        <v>6.16252577986212E-2</v>
      </c>
      <c r="N34">
        <v>11</v>
      </c>
      <c r="O34">
        <v>0.96818108314798801</v>
      </c>
      <c r="P34">
        <v>0.15536499970166101</v>
      </c>
      <c r="Z34">
        <v>91</v>
      </c>
      <c r="AA34">
        <v>4.5355219587329003</v>
      </c>
      <c r="AB34">
        <v>16.841099171232599</v>
      </c>
    </row>
    <row r="35" spans="1:28" x14ac:dyDescent="0.3">
      <c r="A35">
        <v>80</v>
      </c>
      <c r="B35">
        <v>0.11174521339154</v>
      </c>
      <c r="C35">
        <v>5.8068365998309703E-2</v>
      </c>
      <c r="N35">
        <v>7</v>
      </c>
      <c r="O35">
        <v>1.36576860051204</v>
      </c>
      <c r="P35">
        <v>0.12881570886624799</v>
      </c>
      <c r="Z35">
        <v>80</v>
      </c>
      <c r="AA35">
        <v>4.9993848679869499</v>
      </c>
      <c r="AB35">
        <v>1.8001193459475999</v>
      </c>
    </row>
    <row r="36" spans="1:28" x14ac:dyDescent="0.3">
      <c r="A36">
        <v>84</v>
      </c>
      <c r="B36">
        <v>0.24845199749997601</v>
      </c>
      <c r="C36">
        <v>5.3325474829198999E-2</v>
      </c>
      <c r="N36">
        <v>35</v>
      </c>
      <c r="O36">
        <v>0.96594946309006002</v>
      </c>
      <c r="P36">
        <v>0.12864896308850701</v>
      </c>
      <c r="Z36">
        <v>62</v>
      </c>
      <c r="AA36">
        <v>5.3231125207409598</v>
      </c>
      <c r="AB36">
        <v>1.65929799403658</v>
      </c>
    </row>
    <row r="37" spans="1:28" x14ac:dyDescent="0.3">
      <c r="A37">
        <v>76</v>
      </c>
      <c r="B37">
        <v>8.3333333333333301E-2</v>
      </c>
      <c r="C37">
        <v>4.58590258312251E-2</v>
      </c>
      <c r="N37">
        <v>47</v>
      </c>
      <c r="O37">
        <v>1.4934633087510301</v>
      </c>
      <c r="P37">
        <v>0.11865073997004499</v>
      </c>
      <c r="Z37">
        <v>67</v>
      </c>
      <c r="AA37">
        <v>7.1455288125570897</v>
      </c>
      <c r="AB37">
        <v>1</v>
      </c>
    </row>
    <row r="38" spans="1:28" x14ac:dyDescent="0.3">
      <c r="A38">
        <v>99</v>
      </c>
      <c r="B38">
        <v>0.115384615384615</v>
      </c>
      <c r="C38">
        <v>2.62957908832866E-2</v>
      </c>
      <c r="N38">
        <v>30</v>
      </c>
      <c r="O38">
        <v>0.50183289462069203</v>
      </c>
      <c r="P38">
        <v>0.118124364514713</v>
      </c>
      <c r="Z38">
        <v>75</v>
      </c>
      <c r="AA38">
        <v>7.9733175890349104</v>
      </c>
      <c r="AB38">
        <v>1.77974296962276</v>
      </c>
    </row>
    <row r="39" spans="1:28" x14ac:dyDescent="0.3">
      <c r="A39">
        <v>79</v>
      </c>
      <c r="B39">
        <v>6.9282032302754995E-2</v>
      </c>
      <c r="C39">
        <v>2.0864193374409899E-2</v>
      </c>
      <c r="N39">
        <v>14</v>
      </c>
      <c r="O39">
        <v>0.75794924810075204</v>
      </c>
      <c r="P39">
        <v>0.113896097356231</v>
      </c>
      <c r="Z39">
        <v>83</v>
      </c>
      <c r="AA39">
        <v>9.2166142723996796</v>
      </c>
      <c r="AB39">
        <v>5.7114558818216903</v>
      </c>
    </row>
    <row r="40" spans="1:28" x14ac:dyDescent="0.3">
      <c r="A40">
        <v>96</v>
      </c>
      <c r="B40">
        <v>3.7735849056603703E-2</v>
      </c>
      <c r="C40">
        <v>1.0121811677936901E-2</v>
      </c>
      <c r="N40">
        <v>43</v>
      </c>
      <c r="O40">
        <v>0.88666460315957996</v>
      </c>
      <c r="P40">
        <v>9.6290164398109196E-2</v>
      </c>
      <c r="Z40">
        <v>72</v>
      </c>
      <c r="AA40">
        <v>18.969584471277301</v>
      </c>
      <c r="AB40">
        <v>1.9900484026476399</v>
      </c>
    </row>
    <row r="41" spans="1:28" x14ac:dyDescent="0.3">
      <c r="A41">
        <v>2</v>
      </c>
      <c r="B41">
        <v>0</v>
      </c>
      <c r="C41">
        <v>0</v>
      </c>
      <c r="N41">
        <v>25</v>
      </c>
      <c r="O41">
        <v>0.54839523675007995</v>
      </c>
      <c r="P41">
        <v>9.30140813990048E-2</v>
      </c>
      <c r="Z41" t="s">
        <v>440</v>
      </c>
    </row>
    <row r="42" spans="1:28" x14ac:dyDescent="0.3">
      <c r="A42">
        <v>55</v>
      </c>
      <c r="B42">
        <v>0</v>
      </c>
      <c r="C42">
        <v>0</v>
      </c>
      <c r="N42">
        <v>15</v>
      </c>
      <c r="O42">
        <v>0.70432789243838301</v>
      </c>
      <c r="P42">
        <v>9.1931757504583503E-2</v>
      </c>
      <c r="Z42" t="s">
        <v>468</v>
      </c>
    </row>
    <row r="43" spans="1:28" x14ac:dyDescent="0.3">
      <c r="A43">
        <v>56</v>
      </c>
      <c r="B43">
        <v>0</v>
      </c>
      <c r="C43">
        <v>0</v>
      </c>
      <c r="N43">
        <v>23</v>
      </c>
      <c r="O43">
        <v>0.59516115757053301</v>
      </c>
      <c r="P43">
        <v>8.7304723866254097E-2</v>
      </c>
      <c r="Z43" t="s">
        <v>469</v>
      </c>
    </row>
    <row r="44" spans="1:28" x14ac:dyDescent="0.3">
      <c r="A44">
        <v>59</v>
      </c>
      <c r="B44">
        <v>0</v>
      </c>
      <c r="C44">
        <v>0</v>
      </c>
      <c r="N44">
        <v>29</v>
      </c>
      <c r="O44">
        <v>1.5840298982876999</v>
      </c>
      <c r="P44">
        <v>8.7252582059001896E-2</v>
      </c>
      <c r="Z44" t="s">
        <v>470</v>
      </c>
    </row>
    <row r="45" spans="1:28" x14ac:dyDescent="0.3">
      <c r="A45">
        <v>69</v>
      </c>
      <c r="B45">
        <v>0</v>
      </c>
      <c r="C45">
        <v>0</v>
      </c>
      <c r="N45">
        <v>58</v>
      </c>
      <c r="O45">
        <v>1.2386126258466601</v>
      </c>
      <c r="P45">
        <v>7.7183498878920995E-2</v>
      </c>
      <c r="Z45" t="s">
        <v>471</v>
      </c>
    </row>
    <row r="46" spans="1:28" x14ac:dyDescent="0.3">
      <c r="A46">
        <v>89</v>
      </c>
      <c r="B46">
        <v>0</v>
      </c>
      <c r="C46">
        <v>0</v>
      </c>
      <c r="N46">
        <v>48</v>
      </c>
      <c r="O46">
        <v>0.50836634313100004</v>
      </c>
      <c r="P46">
        <v>5.8390303297303901E-2</v>
      </c>
      <c r="Z46" t="s">
        <v>472</v>
      </c>
    </row>
    <row r="47" spans="1:28" x14ac:dyDescent="0.3">
      <c r="A47" t="s">
        <v>440</v>
      </c>
      <c r="N47" t="s">
        <v>440</v>
      </c>
      <c r="Z47" t="s">
        <v>473</v>
      </c>
    </row>
    <row r="48" spans="1:28" x14ac:dyDescent="0.3">
      <c r="A48" t="s">
        <v>445</v>
      </c>
      <c r="N48" t="s">
        <v>453</v>
      </c>
      <c r="Z48" t="s">
        <v>474</v>
      </c>
    </row>
    <row r="49" spans="1:14" x14ac:dyDescent="0.3">
      <c r="A49" t="s">
        <v>446</v>
      </c>
      <c r="N49" t="s">
        <v>454</v>
      </c>
    </row>
    <row r="50" spans="1:14" x14ac:dyDescent="0.3">
      <c r="A50" t="s">
        <v>447</v>
      </c>
      <c r="N50" t="s">
        <v>455</v>
      </c>
    </row>
    <row r="51" spans="1:14" x14ac:dyDescent="0.3">
      <c r="A51" t="s">
        <v>448</v>
      </c>
      <c r="N51" t="s">
        <v>456</v>
      </c>
    </row>
    <row r="52" spans="1:14" x14ac:dyDescent="0.3">
      <c r="A52" t="s">
        <v>449</v>
      </c>
      <c r="N52" t="s">
        <v>457</v>
      </c>
    </row>
    <row r="53" spans="1:14" x14ac:dyDescent="0.3">
      <c r="A53" t="s">
        <v>450</v>
      </c>
      <c r="N53" t="s">
        <v>458</v>
      </c>
    </row>
    <row r="54" spans="1:14" x14ac:dyDescent="0.3">
      <c r="A54" t="s">
        <v>451</v>
      </c>
      <c r="N54" t="s">
        <v>459</v>
      </c>
    </row>
    <row r="55" spans="1:14" x14ac:dyDescent="0.3">
      <c r="A55" t="s">
        <v>452</v>
      </c>
      <c r="N55" t="s">
        <v>460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B3E-3A06-4EE3-B8EE-303D54DCD349}">
  <dimension ref="A1:AI102"/>
  <sheetViews>
    <sheetView topLeftCell="M7" zoomScale="55" zoomScaleNormal="55" workbookViewId="0">
      <selection activeCell="AG124" sqref="AG124"/>
    </sheetView>
  </sheetViews>
  <sheetFormatPr defaultRowHeight="14.4" x14ac:dyDescent="0.3"/>
  <cols>
    <col min="1" max="1" width="9.33203125" customWidth="1"/>
    <col min="5" max="5" width="9.109375" customWidth="1"/>
    <col min="7" max="7" width="10.33203125" customWidth="1"/>
    <col min="8" max="8" width="9.88671875" customWidth="1"/>
    <col min="9" max="9" width="10.109375" customWidth="1"/>
    <col min="10" max="10" width="9.6640625" customWidth="1"/>
    <col min="13" max="13" width="11.5546875" customWidth="1"/>
    <col min="14" max="14" width="11.109375" customWidth="1"/>
    <col min="15" max="15" width="11.88671875" customWidth="1"/>
    <col min="16" max="16" width="11.5546875" customWidth="1"/>
    <col min="17" max="17" width="13.109375" customWidth="1"/>
    <col min="18" max="18" width="12.77734375" customWidth="1"/>
    <col min="19" max="19" width="12.88671875" customWidth="1"/>
    <col min="20" max="20" width="12.5546875" customWidth="1"/>
    <col min="21" max="21" width="11.6640625" customWidth="1"/>
    <col min="22" max="22" width="11.33203125" customWidth="1"/>
    <col min="24" max="24" width="9.33203125" customWidth="1"/>
    <col min="25" max="25" width="10.5546875" customWidth="1"/>
    <col min="26" max="26" width="10.33203125" customWidth="1"/>
    <col min="27" max="27" width="9.109375" customWidth="1"/>
    <col min="28" max="28" width="11.6640625" customWidth="1"/>
    <col min="29" max="29" width="13.33203125" customWidth="1"/>
    <col min="30" max="30" width="12.109375" customWidth="1"/>
    <col min="31" max="31" width="13.109375" customWidth="1"/>
    <col min="32" max="32" width="11.88671875" customWidth="1"/>
    <col min="33" max="33" width="10.6640625" customWidth="1"/>
    <col min="34" max="34" width="12.5546875" customWidth="1"/>
  </cols>
  <sheetData>
    <row r="1" spans="1:35" x14ac:dyDescent="0.3">
      <c r="A1" s="53" t="s">
        <v>62</v>
      </c>
      <c r="B1" s="54" t="s">
        <v>27</v>
      </c>
      <c r="C1" s="53" t="s">
        <v>63</v>
      </c>
      <c r="D1" s="53" t="s">
        <v>64</v>
      </c>
      <c r="E1" s="53" t="s">
        <v>65</v>
      </c>
      <c r="F1" s="53" t="s">
        <v>66</v>
      </c>
      <c r="G1" s="53" t="s">
        <v>67</v>
      </c>
      <c r="H1" s="53" t="s">
        <v>68</v>
      </c>
      <c r="I1" s="53" t="s">
        <v>69</v>
      </c>
      <c r="J1" s="53" t="s">
        <v>70</v>
      </c>
      <c r="K1" s="53" t="s">
        <v>71</v>
      </c>
      <c r="L1" s="53" t="s">
        <v>72</v>
      </c>
      <c r="M1" s="53" t="s">
        <v>73</v>
      </c>
      <c r="N1" s="53" t="s">
        <v>74</v>
      </c>
      <c r="O1" s="53" t="s">
        <v>75</v>
      </c>
      <c r="P1" s="53" t="s">
        <v>76</v>
      </c>
      <c r="Q1" s="53" t="s">
        <v>77</v>
      </c>
      <c r="R1" s="53" t="s">
        <v>78</v>
      </c>
      <c r="S1" s="53" t="s">
        <v>79</v>
      </c>
      <c r="T1" s="53" t="s">
        <v>80</v>
      </c>
      <c r="U1" s="53" t="s">
        <v>81</v>
      </c>
      <c r="V1" s="53" t="s">
        <v>82</v>
      </c>
      <c r="W1" s="53" t="s">
        <v>83</v>
      </c>
      <c r="X1" s="53" t="s">
        <v>84</v>
      </c>
      <c r="Y1" s="53" t="s">
        <v>85</v>
      </c>
      <c r="Z1" s="53" t="s">
        <v>86</v>
      </c>
      <c r="AA1" s="53" t="s">
        <v>87</v>
      </c>
      <c r="AB1" s="53" t="s">
        <v>88</v>
      </c>
      <c r="AC1" s="53" t="s">
        <v>90</v>
      </c>
      <c r="AD1" s="53" t="s">
        <v>89</v>
      </c>
      <c r="AE1" s="53" t="s">
        <v>91</v>
      </c>
      <c r="AF1" s="53" t="s">
        <v>92</v>
      </c>
      <c r="AG1" s="53" t="s">
        <v>99</v>
      </c>
      <c r="AH1" s="53" t="s">
        <v>139</v>
      </c>
    </row>
    <row r="2" spans="1:35" x14ac:dyDescent="0.3">
      <c r="A2" s="51">
        <v>51</v>
      </c>
      <c r="B2" s="52" t="s">
        <v>39</v>
      </c>
      <c r="C2" s="51">
        <v>0</v>
      </c>
      <c r="D2" s="51">
        <v>1</v>
      </c>
      <c r="E2" s="51">
        <v>6</v>
      </c>
      <c r="F2" s="51">
        <v>0</v>
      </c>
      <c r="G2" s="51">
        <v>19.600000000000001</v>
      </c>
      <c r="H2" s="51">
        <v>42</v>
      </c>
      <c r="I2" s="51">
        <v>1.5</v>
      </c>
      <c r="J2" s="51">
        <v>10.199999999999999</v>
      </c>
      <c r="K2" s="51">
        <v>0.01</v>
      </c>
      <c r="L2" s="51">
        <v>2.7E-2</v>
      </c>
      <c r="M2" s="51">
        <v>0</v>
      </c>
      <c r="N2" s="51">
        <v>0.69314718055994495</v>
      </c>
      <c r="O2" s="51">
        <v>1.9459101490553099</v>
      </c>
      <c r="P2" s="51">
        <v>0</v>
      </c>
      <c r="Q2" s="51">
        <v>3.02529107579553</v>
      </c>
      <c r="R2" s="51">
        <v>3.7612001156935602</v>
      </c>
      <c r="S2" s="51">
        <v>0.01</v>
      </c>
      <c r="T2" s="51">
        <v>0.916290731874155</v>
      </c>
      <c r="U2" s="51">
        <v>2.4159137783010398</v>
      </c>
      <c r="V2" s="51">
        <v>9.9503308531680903E-3</v>
      </c>
      <c r="W2" s="51">
        <v>2.6641930946420998E-2</v>
      </c>
      <c r="X2" s="51">
        <v>-6</v>
      </c>
      <c r="Y2" s="51">
        <v>22.4</v>
      </c>
      <c r="Z2" s="51">
        <v>8.6999999999999993</v>
      </c>
      <c r="AA2" s="51">
        <v>1.7000000000000001E-2</v>
      </c>
      <c r="AB2" s="51">
        <v>0.69314718055994495</v>
      </c>
      <c r="AC2" s="51">
        <v>3.15273602236365</v>
      </c>
      <c r="AD2" s="51">
        <v>1.9459101490553099</v>
      </c>
      <c r="AE2" s="51">
        <v>2.2721258855093298</v>
      </c>
      <c r="AF2" s="51">
        <v>1.6857117066422799E-2</v>
      </c>
      <c r="AG2" s="51" t="b">
        <f>AND("Zeta" ='Keto-CTA with change &amp;Ln-Values'!$B52)</f>
        <v>0</v>
      </c>
      <c r="AH2" s="51" t="b">
        <f t="shared" ref="AH2:AH65" si="0">ABS(X2) &gt; 0</f>
        <v>1</v>
      </c>
    </row>
    <row r="3" spans="1:35" x14ac:dyDescent="0.3">
      <c r="A3" s="51">
        <v>1</v>
      </c>
      <c r="B3" s="52" t="s">
        <v>40</v>
      </c>
      <c r="C3" s="51">
        <v>0</v>
      </c>
      <c r="D3" s="51">
        <v>0</v>
      </c>
      <c r="E3" s="51">
        <v>0</v>
      </c>
      <c r="F3" s="51">
        <v>0</v>
      </c>
      <c r="G3" s="51">
        <v>9.3000000000000007</v>
      </c>
      <c r="H3" s="51">
        <v>18.8</v>
      </c>
      <c r="I3" s="51">
        <v>0</v>
      </c>
      <c r="J3" s="51">
        <v>0</v>
      </c>
      <c r="K3" s="51">
        <v>4.0000000000000001E-3</v>
      </c>
      <c r="L3" s="51">
        <v>7.0000000000000001E-3</v>
      </c>
      <c r="M3" s="51">
        <v>0</v>
      </c>
      <c r="N3" s="51">
        <v>0</v>
      </c>
      <c r="O3" s="51">
        <v>0</v>
      </c>
      <c r="P3" s="51">
        <v>0</v>
      </c>
      <c r="Q3" s="51">
        <v>2.33214389523559</v>
      </c>
      <c r="R3" s="51">
        <v>2.98568193770048</v>
      </c>
      <c r="S3" s="51">
        <v>4.0000000000000001E-3</v>
      </c>
      <c r="T3" s="51">
        <v>0</v>
      </c>
      <c r="U3" s="51">
        <v>0</v>
      </c>
      <c r="V3" s="51">
        <v>3.9920212695374498E-3</v>
      </c>
      <c r="W3" s="51">
        <v>6.9756137364251304E-3</v>
      </c>
      <c r="X3" s="51">
        <v>0</v>
      </c>
      <c r="Y3" s="51">
        <v>9.5</v>
      </c>
      <c r="Z3" s="51">
        <v>0</v>
      </c>
      <c r="AA3" s="51">
        <v>3.0000000000000001E-3</v>
      </c>
      <c r="AB3" s="51">
        <v>0</v>
      </c>
      <c r="AC3" s="51">
        <v>2.3513752571634701</v>
      </c>
      <c r="AD3" s="51">
        <v>0</v>
      </c>
      <c r="AE3" s="51">
        <v>0</v>
      </c>
      <c r="AF3" s="51">
        <v>2.9955089797983701E-3</v>
      </c>
      <c r="AG3" s="51" t="b">
        <f>AND("Zeta" ='Keto-CTA with change &amp;Ln-Values'!$B2)</f>
        <v>1</v>
      </c>
      <c r="AH3" s="51" t="b">
        <f t="shared" si="0"/>
        <v>0</v>
      </c>
    </row>
    <row r="4" spans="1:35" x14ac:dyDescent="0.3">
      <c r="A4" s="51">
        <v>2</v>
      </c>
      <c r="B4" s="52" t="s">
        <v>39</v>
      </c>
      <c r="C4" s="51">
        <v>0</v>
      </c>
      <c r="D4" s="51">
        <v>0</v>
      </c>
      <c r="E4" s="51">
        <v>0</v>
      </c>
      <c r="F4" s="51">
        <v>0</v>
      </c>
      <c r="G4" s="51">
        <v>193.3</v>
      </c>
      <c r="H4" s="51">
        <v>212.2</v>
      </c>
      <c r="I4" s="51">
        <v>0.1</v>
      </c>
      <c r="J4" s="51">
        <v>0</v>
      </c>
      <c r="K4" s="51">
        <v>6.7000000000000004E-2</v>
      </c>
      <c r="L4" s="51">
        <v>9.8000000000000004E-2</v>
      </c>
      <c r="M4" s="51">
        <v>0</v>
      </c>
      <c r="N4" s="51">
        <v>0</v>
      </c>
      <c r="O4" s="51">
        <v>0</v>
      </c>
      <c r="P4" s="51">
        <v>0</v>
      </c>
      <c r="Q4" s="51">
        <v>5.26940335638339</v>
      </c>
      <c r="R4" s="51">
        <v>5.3622306922916803</v>
      </c>
      <c r="S4" s="51">
        <v>6.7000000000000004E-2</v>
      </c>
      <c r="T4" s="51">
        <v>9.5310179804324893E-2</v>
      </c>
      <c r="U4" s="51">
        <v>0</v>
      </c>
      <c r="V4" s="51">
        <v>6.4850972319616201E-2</v>
      </c>
      <c r="W4" s="51">
        <v>9.3490343087338904E-2</v>
      </c>
      <c r="X4" s="51">
        <v>0</v>
      </c>
      <c r="Y4" s="51">
        <v>18.899999999999899</v>
      </c>
      <c r="Z4" s="51">
        <v>-0.1</v>
      </c>
      <c r="AA4" s="51">
        <v>3.1E-2</v>
      </c>
      <c r="AB4" s="51">
        <v>0</v>
      </c>
      <c r="AC4" s="51">
        <v>2.9907197317304401</v>
      </c>
      <c r="AD4" s="51">
        <v>0</v>
      </c>
      <c r="AE4" s="51">
        <v>9.5310179804324893E-2</v>
      </c>
      <c r="AF4" s="51">
        <v>3.0529205034822701E-2</v>
      </c>
      <c r="AG4" s="51" t="b">
        <f>AND("Zeta" ='Keto-CTA with change &amp;Ln-Values'!$B3)</f>
        <v>0</v>
      </c>
      <c r="AH4" s="51" t="b">
        <f t="shared" si="0"/>
        <v>0</v>
      </c>
    </row>
    <row r="5" spans="1:35" x14ac:dyDescent="0.3">
      <c r="A5" s="51">
        <v>3</v>
      </c>
      <c r="B5" s="52" t="s">
        <v>40</v>
      </c>
      <c r="C5" s="51">
        <v>0</v>
      </c>
      <c r="D5" s="51">
        <v>0</v>
      </c>
      <c r="E5" s="51">
        <v>0</v>
      </c>
      <c r="F5" s="51">
        <v>0</v>
      </c>
      <c r="G5" s="51">
        <v>6.5</v>
      </c>
      <c r="H5" s="51">
        <v>23.2</v>
      </c>
      <c r="I5" s="51">
        <v>0</v>
      </c>
      <c r="J5" s="51">
        <v>0.2</v>
      </c>
      <c r="K5" s="51">
        <v>3.0000000000000001E-3</v>
      </c>
      <c r="L5" s="51">
        <v>8.0000000000000002E-3</v>
      </c>
      <c r="M5" s="51">
        <v>0</v>
      </c>
      <c r="N5" s="51">
        <v>0</v>
      </c>
      <c r="O5" s="51">
        <v>0</v>
      </c>
      <c r="P5" s="51">
        <v>0</v>
      </c>
      <c r="Q5" s="51">
        <v>2.0149030205422598</v>
      </c>
      <c r="R5" s="51">
        <v>3.1863526331626399</v>
      </c>
      <c r="S5" s="51">
        <v>3.0000000000000001E-3</v>
      </c>
      <c r="T5" s="51">
        <v>0</v>
      </c>
      <c r="U5" s="51">
        <v>0.18232155679395401</v>
      </c>
      <c r="V5" s="51">
        <v>2.9955089797983701E-3</v>
      </c>
      <c r="W5" s="51">
        <v>7.9681696491768796E-3</v>
      </c>
      <c r="X5" s="51">
        <v>0</v>
      </c>
      <c r="Y5" s="51">
        <v>16.7</v>
      </c>
      <c r="Z5" s="51">
        <v>0.2</v>
      </c>
      <c r="AA5" s="51">
        <v>5.0000000000000001E-3</v>
      </c>
      <c r="AB5" s="51">
        <v>0</v>
      </c>
      <c r="AC5" s="51">
        <v>2.8735646395797798</v>
      </c>
      <c r="AD5" s="51">
        <v>0</v>
      </c>
      <c r="AE5" s="51">
        <v>0.18232155679395401</v>
      </c>
      <c r="AF5" s="51">
        <v>4.9875415110389601E-3</v>
      </c>
      <c r="AG5" s="51" t="b">
        <f>AND("Zeta" ='Keto-CTA with change &amp;Ln-Values'!$B4)</f>
        <v>1</v>
      </c>
      <c r="AH5" s="51" t="b">
        <f t="shared" si="0"/>
        <v>0</v>
      </c>
    </row>
    <row r="6" spans="1:35" x14ac:dyDescent="0.3">
      <c r="A6" s="51">
        <v>4</v>
      </c>
      <c r="B6" s="52" t="s">
        <v>40</v>
      </c>
      <c r="C6" s="51">
        <v>0</v>
      </c>
      <c r="D6" s="51">
        <v>0</v>
      </c>
      <c r="E6" s="51">
        <v>0</v>
      </c>
      <c r="F6" s="51">
        <v>0</v>
      </c>
      <c r="G6" s="51">
        <v>1.8</v>
      </c>
      <c r="H6" s="51">
        <v>9.1</v>
      </c>
      <c r="I6" s="51">
        <v>0</v>
      </c>
      <c r="J6" s="51">
        <v>0.9</v>
      </c>
      <c r="K6" s="51">
        <v>1E-3</v>
      </c>
      <c r="L6" s="51">
        <v>5.0000000000000001E-3</v>
      </c>
      <c r="M6" s="51">
        <v>0</v>
      </c>
      <c r="N6" s="51">
        <v>0</v>
      </c>
      <c r="O6" s="51">
        <v>0</v>
      </c>
      <c r="P6" s="51">
        <v>0</v>
      </c>
      <c r="Q6" s="51">
        <v>1.0296194171811499</v>
      </c>
      <c r="R6" s="51">
        <v>2.3125354238472098</v>
      </c>
      <c r="S6" s="51">
        <v>1E-3</v>
      </c>
      <c r="T6" s="51">
        <v>0</v>
      </c>
      <c r="U6" s="51">
        <v>0.64185388617239403</v>
      </c>
      <c r="V6" s="51">
        <v>9.9950033308342299E-4</v>
      </c>
      <c r="W6" s="51">
        <v>4.9875415110389601E-3</v>
      </c>
      <c r="X6" s="51">
        <v>0</v>
      </c>
      <c r="Y6" s="51">
        <v>7.3</v>
      </c>
      <c r="Z6" s="51">
        <v>0.9</v>
      </c>
      <c r="AA6" s="51">
        <v>4.0000000000000001E-3</v>
      </c>
      <c r="AB6" s="51">
        <v>0</v>
      </c>
      <c r="AC6" s="51">
        <v>2.1162555148025501</v>
      </c>
      <c r="AD6" s="51">
        <v>0</v>
      </c>
      <c r="AE6" s="51">
        <v>0.64185388617239403</v>
      </c>
      <c r="AF6" s="51">
        <v>3.9920212695374498E-3</v>
      </c>
      <c r="AG6" s="51" t="b">
        <f>AND("Zeta" ='Keto-CTA with change &amp;Ln-Values'!$B5)</f>
        <v>0</v>
      </c>
      <c r="AH6" s="51" t="b">
        <f t="shared" si="0"/>
        <v>0</v>
      </c>
    </row>
    <row r="7" spans="1:35" x14ac:dyDescent="0.3">
      <c r="A7" s="51">
        <v>5</v>
      </c>
      <c r="B7" s="52" t="s">
        <v>40</v>
      </c>
      <c r="C7" s="51">
        <v>0</v>
      </c>
      <c r="D7" s="51">
        <v>0</v>
      </c>
      <c r="E7" s="51">
        <v>0</v>
      </c>
      <c r="F7" s="51">
        <v>0</v>
      </c>
      <c r="G7" s="51">
        <v>15.6</v>
      </c>
      <c r="H7" s="51">
        <v>24.8</v>
      </c>
      <c r="I7" s="51">
        <v>0</v>
      </c>
      <c r="J7" s="51">
        <v>0.6</v>
      </c>
      <c r="K7" s="51">
        <v>7.0000000000000001E-3</v>
      </c>
      <c r="L7" s="51">
        <v>0.01</v>
      </c>
      <c r="M7" s="51">
        <v>0</v>
      </c>
      <c r="N7" s="51">
        <v>0</v>
      </c>
      <c r="O7" s="51">
        <v>0</v>
      </c>
      <c r="P7" s="51">
        <v>0</v>
      </c>
      <c r="Q7" s="51">
        <v>2.8094026953624902</v>
      </c>
      <c r="R7" s="51">
        <v>3.2503744919275701</v>
      </c>
      <c r="S7" s="51">
        <v>7.0000000000000001E-3</v>
      </c>
      <c r="T7" s="51">
        <v>0</v>
      </c>
      <c r="U7" s="51">
        <v>0.47000362924573502</v>
      </c>
      <c r="V7" s="51">
        <v>6.9756137364251304E-3</v>
      </c>
      <c r="W7" s="51">
        <v>9.9503308531680903E-3</v>
      </c>
      <c r="X7" s="51">
        <v>0</v>
      </c>
      <c r="Y7" s="51">
        <v>9.1999999999999993</v>
      </c>
      <c r="Z7" s="51">
        <v>0.6</v>
      </c>
      <c r="AA7" s="51">
        <v>3.0000000000000001E-3</v>
      </c>
      <c r="AB7" s="51">
        <v>0</v>
      </c>
      <c r="AC7" s="51">
        <v>2.3223877202902199</v>
      </c>
      <c r="AD7" s="51">
        <v>0</v>
      </c>
      <c r="AE7" s="51">
        <v>0.47000362924573502</v>
      </c>
      <c r="AF7" s="51">
        <v>2.9955089797983701E-3</v>
      </c>
      <c r="AG7" s="51" t="b">
        <f>AND("Zeta" ='Keto-CTA with change &amp;Ln-Values'!$B6)</f>
        <v>0</v>
      </c>
      <c r="AH7" s="51" t="b">
        <f t="shared" si="0"/>
        <v>0</v>
      </c>
    </row>
    <row r="8" spans="1:35" x14ac:dyDescent="0.3">
      <c r="A8" s="51">
        <v>6</v>
      </c>
      <c r="B8" s="52" t="s">
        <v>40</v>
      </c>
      <c r="C8" s="51">
        <v>0</v>
      </c>
      <c r="D8" s="51">
        <v>0</v>
      </c>
      <c r="E8" s="51">
        <v>0</v>
      </c>
      <c r="F8" s="51">
        <v>0</v>
      </c>
      <c r="G8" s="51">
        <v>10.4</v>
      </c>
      <c r="H8" s="51">
        <v>11.8</v>
      </c>
      <c r="I8" s="51">
        <v>0</v>
      </c>
      <c r="J8" s="51">
        <v>0.5</v>
      </c>
      <c r="K8" s="51">
        <v>5.0000000000000001E-3</v>
      </c>
      <c r="L8" s="51">
        <v>6.0000000000000001E-3</v>
      </c>
      <c r="M8" s="51">
        <v>0</v>
      </c>
      <c r="N8" s="51">
        <v>0</v>
      </c>
      <c r="O8" s="51">
        <v>0</v>
      </c>
      <c r="P8" s="51">
        <v>0</v>
      </c>
      <c r="Q8" s="51">
        <v>2.43361335540044</v>
      </c>
      <c r="R8" s="51">
        <v>2.5494451709255701</v>
      </c>
      <c r="S8" s="51">
        <v>5.0000000000000001E-3</v>
      </c>
      <c r="T8" s="51">
        <v>0</v>
      </c>
      <c r="U8" s="51">
        <v>0.405465108108164</v>
      </c>
      <c r="V8" s="51">
        <v>4.9875415110389601E-3</v>
      </c>
      <c r="W8" s="51">
        <v>5.9820716775474602E-3</v>
      </c>
      <c r="X8" s="51">
        <v>0</v>
      </c>
      <c r="Y8" s="51">
        <v>1.4</v>
      </c>
      <c r="Z8" s="51">
        <v>0.5</v>
      </c>
      <c r="AA8" s="51">
        <v>1E-3</v>
      </c>
      <c r="AB8" s="51">
        <v>0</v>
      </c>
      <c r="AC8" s="51">
        <v>0.87546873735389996</v>
      </c>
      <c r="AD8" s="51">
        <v>0</v>
      </c>
      <c r="AE8" s="51">
        <v>0.405465108108164</v>
      </c>
      <c r="AF8" s="51">
        <v>9.9950033308342299E-4</v>
      </c>
      <c r="AG8" s="51" t="b">
        <f>AND("Zeta" ='Keto-CTA with change &amp;Ln-Values'!$B7)</f>
        <v>0</v>
      </c>
      <c r="AH8" s="51" t="b">
        <f t="shared" si="0"/>
        <v>0</v>
      </c>
    </row>
    <row r="9" spans="1:35" x14ac:dyDescent="0.3">
      <c r="A9" s="51">
        <v>7</v>
      </c>
      <c r="B9" s="52" t="s">
        <v>40</v>
      </c>
      <c r="C9" s="51">
        <v>0</v>
      </c>
      <c r="D9" s="51">
        <v>0</v>
      </c>
      <c r="E9" s="51">
        <v>0</v>
      </c>
      <c r="F9" s="51">
        <v>0</v>
      </c>
      <c r="G9" s="51">
        <v>48.4</v>
      </c>
      <c r="H9" s="51">
        <v>80.400000000000006</v>
      </c>
      <c r="I9" s="51">
        <v>0.8</v>
      </c>
      <c r="J9" s="51">
        <v>3.8</v>
      </c>
      <c r="K9" s="51">
        <v>2.5000000000000001E-2</v>
      </c>
      <c r="L9" s="51">
        <v>0.03</v>
      </c>
      <c r="M9" s="51">
        <v>0</v>
      </c>
      <c r="N9" s="51">
        <v>0</v>
      </c>
      <c r="O9" s="51">
        <v>0</v>
      </c>
      <c r="P9" s="51">
        <v>0</v>
      </c>
      <c r="Q9" s="51">
        <v>3.8999504241938698</v>
      </c>
      <c r="R9" s="51">
        <v>4.3993752730084896</v>
      </c>
      <c r="S9" s="51">
        <v>2.5000000000000001E-2</v>
      </c>
      <c r="T9" s="51">
        <v>0.58778666490211895</v>
      </c>
      <c r="U9" s="51">
        <v>1.5686159179138399</v>
      </c>
      <c r="V9" s="51">
        <v>2.46926125903714E-2</v>
      </c>
      <c r="W9" s="51">
        <v>2.9558802241544401E-2</v>
      </c>
      <c r="X9" s="51">
        <v>0</v>
      </c>
      <c r="Y9" s="51">
        <v>32</v>
      </c>
      <c r="Z9" s="51">
        <v>3</v>
      </c>
      <c r="AA9" s="51">
        <v>4.9999999999999897E-3</v>
      </c>
      <c r="AB9" s="51">
        <v>0</v>
      </c>
      <c r="AC9" s="51">
        <v>3.4965075614664798</v>
      </c>
      <c r="AD9" s="51">
        <v>0</v>
      </c>
      <c r="AE9" s="51">
        <v>1.3862943611198899</v>
      </c>
      <c r="AF9" s="51">
        <v>4.9875415110389601E-3</v>
      </c>
      <c r="AG9" s="51" t="b">
        <f>AND("Zeta" ='Keto-CTA with change &amp;Ln-Values'!$B8)</f>
        <v>0</v>
      </c>
      <c r="AH9" s="51" t="b">
        <f t="shared" si="0"/>
        <v>0</v>
      </c>
    </row>
    <row r="10" spans="1:35" x14ac:dyDescent="0.3">
      <c r="A10" s="51">
        <v>8</v>
      </c>
      <c r="B10" s="52" t="s">
        <v>40</v>
      </c>
      <c r="C10" s="51">
        <v>0</v>
      </c>
      <c r="D10" s="51">
        <v>0</v>
      </c>
      <c r="E10" s="51">
        <v>0</v>
      </c>
      <c r="F10" s="51">
        <v>0</v>
      </c>
      <c r="G10" s="51">
        <v>65.599999999999994</v>
      </c>
      <c r="H10" s="51">
        <v>82.5</v>
      </c>
      <c r="I10" s="51">
        <v>0</v>
      </c>
      <c r="J10" s="51">
        <v>0.1</v>
      </c>
      <c r="K10" s="51">
        <v>1.7000000000000001E-2</v>
      </c>
      <c r="L10" s="51">
        <v>2.1000000000000001E-2</v>
      </c>
      <c r="M10" s="51">
        <v>0</v>
      </c>
      <c r="N10" s="51">
        <v>0</v>
      </c>
      <c r="O10" s="51">
        <v>0</v>
      </c>
      <c r="P10" s="51">
        <v>0</v>
      </c>
      <c r="Q10" s="51">
        <v>4.1987045775463399</v>
      </c>
      <c r="R10" s="51">
        <v>4.42484663185681</v>
      </c>
      <c r="S10" s="51">
        <v>1.7000000000000001E-2</v>
      </c>
      <c r="T10" s="51">
        <v>0</v>
      </c>
      <c r="U10" s="51">
        <v>9.5310179804324893E-2</v>
      </c>
      <c r="V10" s="51">
        <v>1.6857117066422799E-2</v>
      </c>
      <c r="W10" s="51">
        <v>2.0782539182528401E-2</v>
      </c>
      <c r="X10" s="51">
        <v>0</v>
      </c>
      <c r="Y10" s="51">
        <v>16.899999999999999</v>
      </c>
      <c r="Z10" s="51">
        <v>0.1</v>
      </c>
      <c r="AA10" s="51">
        <v>4.0000000000000001E-3</v>
      </c>
      <c r="AB10" s="51">
        <v>0</v>
      </c>
      <c r="AC10" s="51">
        <v>2.8848007128467001</v>
      </c>
      <c r="AD10" s="51">
        <v>0</v>
      </c>
      <c r="AE10" s="51">
        <v>9.5310179804324893E-2</v>
      </c>
      <c r="AF10" s="51">
        <v>3.9920212695374498E-3</v>
      </c>
      <c r="AG10" s="51" t="b">
        <f>AND("Zeta" ='Keto-CTA with change &amp;Ln-Values'!$B9)</f>
        <v>0</v>
      </c>
      <c r="AH10" s="51" t="b">
        <f t="shared" si="0"/>
        <v>0</v>
      </c>
    </row>
    <row r="11" spans="1:35" x14ac:dyDescent="0.3">
      <c r="A11" s="51">
        <v>9</v>
      </c>
      <c r="B11" s="52" t="s">
        <v>40</v>
      </c>
      <c r="C11" s="51">
        <v>0</v>
      </c>
      <c r="D11" s="51">
        <v>0</v>
      </c>
      <c r="E11" s="51">
        <v>0</v>
      </c>
      <c r="F11" s="51">
        <v>0</v>
      </c>
      <c r="G11" s="51">
        <v>3.8</v>
      </c>
      <c r="H11" s="51">
        <v>13.1</v>
      </c>
      <c r="I11" s="51">
        <v>0</v>
      </c>
      <c r="J11" s="51">
        <v>0</v>
      </c>
      <c r="K11" s="51">
        <v>1E-3</v>
      </c>
      <c r="L11" s="51">
        <v>4.0000000000000001E-3</v>
      </c>
      <c r="M11" s="51">
        <v>0</v>
      </c>
      <c r="N11" s="51">
        <v>0</v>
      </c>
      <c r="O11" s="51">
        <v>0</v>
      </c>
      <c r="P11" s="51">
        <v>0</v>
      </c>
      <c r="Q11" s="51">
        <v>1.5686159179138399</v>
      </c>
      <c r="R11" s="51">
        <v>2.6461747973841199</v>
      </c>
      <c r="S11" s="51">
        <v>1E-3</v>
      </c>
      <c r="T11" s="51">
        <v>0</v>
      </c>
      <c r="U11" s="51">
        <v>0</v>
      </c>
      <c r="V11" s="51">
        <v>9.9950033308342299E-4</v>
      </c>
      <c r="W11" s="51">
        <v>3.9920212695374498E-3</v>
      </c>
      <c r="X11" s="51">
        <v>0</v>
      </c>
      <c r="Y11" s="51">
        <v>9.3000000000000007</v>
      </c>
      <c r="Z11" s="51">
        <v>0</v>
      </c>
      <c r="AA11" s="51">
        <v>3.0000000000000001E-3</v>
      </c>
      <c r="AB11" s="51">
        <v>0</v>
      </c>
      <c r="AC11" s="51">
        <v>2.33214389523559</v>
      </c>
      <c r="AD11" s="51">
        <v>0</v>
      </c>
      <c r="AE11" s="51">
        <v>0</v>
      </c>
      <c r="AF11" s="51">
        <v>2.9955089797983701E-3</v>
      </c>
      <c r="AG11" s="51" t="b">
        <f>AND("Zeta" ='Keto-CTA with change &amp;Ln-Values'!$B10)</f>
        <v>0</v>
      </c>
      <c r="AH11" s="51" t="b">
        <f t="shared" si="0"/>
        <v>0</v>
      </c>
    </row>
    <row r="12" spans="1:35" x14ac:dyDescent="0.3">
      <c r="A12" s="51">
        <v>10</v>
      </c>
      <c r="B12" s="52" t="s">
        <v>40</v>
      </c>
      <c r="C12" s="51">
        <v>0</v>
      </c>
      <c r="D12" s="51">
        <v>0</v>
      </c>
      <c r="E12" s="51">
        <v>0</v>
      </c>
      <c r="F12" s="51">
        <v>0</v>
      </c>
      <c r="G12" s="51">
        <v>42.8</v>
      </c>
      <c r="H12" s="51">
        <v>64.400000000000006</v>
      </c>
      <c r="I12" s="51">
        <v>0</v>
      </c>
      <c r="J12" s="51">
        <v>0</v>
      </c>
      <c r="K12" s="51">
        <v>1.2E-2</v>
      </c>
      <c r="L12" s="51">
        <v>1.7000000000000001E-2</v>
      </c>
      <c r="M12" s="51">
        <v>0</v>
      </c>
      <c r="N12" s="51">
        <v>0</v>
      </c>
      <c r="O12" s="51">
        <v>0</v>
      </c>
      <c r="P12" s="51">
        <v>0</v>
      </c>
      <c r="Q12" s="51">
        <v>3.7796338173824</v>
      </c>
      <c r="R12" s="51">
        <v>4.1805222584631503</v>
      </c>
      <c r="S12" s="51">
        <v>1.2E-2</v>
      </c>
      <c r="T12" s="51">
        <v>0</v>
      </c>
      <c r="U12" s="51">
        <v>0</v>
      </c>
      <c r="V12" s="51">
        <v>1.19285708652738E-2</v>
      </c>
      <c r="W12" s="51">
        <v>1.6857117066422799E-2</v>
      </c>
      <c r="X12" s="51">
        <v>0</v>
      </c>
      <c r="Y12" s="51">
        <v>21.6</v>
      </c>
      <c r="Z12" s="51">
        <v>0</v>
      </c>
      <c r="AA12" s="51">
        <v>5.0000000000000001E-3</v>
      </c>
      <c r="AB12" s="51">
        <v>0</v>
      </c>
      <c r="AC12" s="51">
        <v>3.1179499062782399</v>
      </c>
      <c r="AD12" s="51">
        <v>0</v>
      </c>
      <c r="AE12" s="51">
        <v>0</v>
      </c>
      <c r="AF12" s="51">
        <v>4.9875415110389601E-3</v>
      </c>
      <c r="AG12" s="51" t="b">
        <f>AND("Zeta" ='Keto-CTA with change &amp;Ln-Values'!$B11)</f>
        <v>0</v>
      </c>
      <c r="AH12" s="51" t="b">
        <f t="shared" si="0"/>
        <v>0</v>
      </c>
    </row>
    <row r="13" spans="1:35" x14ac:dyDescent="0.3">
      <c r="A13" s="51">
        <v>11</v>
      </c>
      <c r="B13" s="52" t="s">
        <v>40</v>
      </c>
      <c r="C13" s="51">
        <v>0</v>
      </c>
      <c r="D13" s="51">
        <v>0</v>
      </c>
      <c r="E13" s="51">
        <v>0</v>
      </c>
      <c r="F13" s="51">
        <v>0</v>
      </c>
      <c r="G13" s="51">
        <v>21.7</v>
      </c>
      <c r="H13" s="51">
        <v>44.4</v>
      </c>
      <c r="I13" s="51">
        <v>2.8</v>
      </c>
      <c r="J13" s="51">
        <v>4.5</v>
      </c>
      <c r="K13" s="51">
        <v>1.2E-2</v>
      </c>
      <c r="L13" s="51">
        <v>0.02</v>
      </c>
      <c r="M13" s="51">
        <v>0</v>
      </c>
      <c r="N13" s="51">
        <v>0</v>
      </c>
      <c r="O13" s="51">
        <v>0</v>
      </c>
      <c r="P13" s="51">
        <v>0</v>
      </c>
      <c r="Q13" s="51">
        <v>3.1223649244873499</v>
      </c>
      <c r="R13" s="51">
        <v>3.8155121050473002</v>
      </c>
      <c r="S13" s="51">
        <v>1.2E-2</v>
      </c>
      <c r="T13" s="51">
        <v>1.33500106673234</v>
      </c>
      <c r="U13" s="51">
        <v>1.7047480922384199</v>
      </c>
      <c r="V13" s="51">
        <v>1.19285708652738E-2</v>
      </c>
      <c r="W13" s="51">
        <v>1.9802627296179699E-2</v>
      </c>
      <c r="X13" s="51">
        <v>0</v>
      </c>
      <c r="Y13" s="51">
        <v>22.7</v>
      </c>
      <c r="Z13" s="51">
        <v>1.7</v>
      </c>
      <c r="AA13" s="51">
        <v>8.0000000000000002E-3</v>
      </c>
      <c r="AB13" s="51">
        <v>0</v>
      </c>
      <c r="AC13" s="51">
        <v>3.1654750481410798</v>
      </c>
      <c r="AD13" s="51">
        <v>0</v>
      </c>
      <c r="AE13" s="51">
        <v>0.993251773010283</v>
      </c>
      <c r="AF13" s="51">
        <v>7.9681696491768796E-3</v>
      </c>
      <c r="AG13" s="51" t="b">
        <f>AND("Zeta" ='Keto-CTA with change &amp;Ln-Values'!$B12)</f>
        <v>0</v>
      </c>
      <c r="AH13" s="51" t="b">
        <f t="shared" si="0"/>
        <v>0</v>
      </c>
      <c r="AI13" t="s">
        <v>137</v>
      </c>
    </row>
    <row r="14" spans="1:35" x14ac:dyDescent="0.3">
      <c r="A14" s="51">
        <v>12</v>
      </c>
      <c r="B14" s="52" t="s">
        <v>40</v>
      </c>
      <c r="C14" s="51">
        <v>0</v>
      </c>
      <c r="D14" s="51">
        <v>0</v>
      </c>
      <c r="E14" s="51">
        <v>0</v>
      </c>
      <c r="F14" s="51">
        <v>0</v>
      </c>
      <c r="G14" s="51">
        <v>4.9000000000000004</v>
      </c>
      <c r="H14" s="51">
        <v>16.7</v>
      </c>
      <c r="I14" s="51">
        <v>0</v>
      </c>
      <c r="J14" s="51">
        <v>0</v>
      </c>
      <c r="K14" s="51">
        <v>2E-3</v>
      </c>
      <c r="L14" s="51">
        <v>6.0000000000000001E-3</v>
      </c>
      <c r="M14" s="51">
        <v>0</v>
      </c>
      <c r="N14" s="51">
        <v>0</v>
      </c>
      <c r="O14" s="51">
        <v>0</v>
      </c>
      <c r="P14" s="51">
        <v>0</v>
      </c>
      <c r="Q14" s="51">
        <v>1.77495235091167</v>
      </c>
      <c r="R14" s="51">
        <v>2.8735646395797798</v>
      </c>
      <c r="S14" s="51">
        <v>2E-3</v>
      </c>
      <c r="T14" s="51">
        <v>0</v>
      </c>
      <c r="U14" s="51">
        <v>0</v>
      </c>
      <c r="V14" s="51">
        <v>1.9980026626730501E-3</v>
      </c>
      <c r="W14" s="51">
        <v>5.9820716775474602E-3</v>
      </c>
      <c r="X14" s="51">
        <v>0</v>
      </c>
      <c r="Y14" s="51">
        <v>11.799999999999899</v>
      </c>
      <c r="Z14" s="51">
        <v>0</v>
      </c>
      <c r="AA14" s="51">
        <v>4.0000000000000001E-3</v>
      </c>
      <c r="AB14" s="51">
        <v>0</v>
      </c>
      <c r="AC14" s="51">
        <v>2.5494451709255701</v>
      </c>
      <c r="AD14" s="51">
        <v>0</v>
      </c>
      <c r="AE14" s="51">
        <v>0</v>
      </c>
      <c r="AF14" s="51">
        <v>3.9920212695374498E-3</v>
      </c>
      <c r="AG14" s="51" t="b">
        <f>AND("Zeta" ='Keto-CTA with change &amp;Ln-Values'!$B13)</f>
        <v>0</v>
      </c>
      <c r="AH14" s="51" t="b">
        <f t="shared" si="0"/>
        <v>0</v>
      </c>
    </row>
    <row r="15" spans="1:35" x14ac:dyDescent="0.3">
      <c r="A15" s="51">
        <v>13</v>
      </c>
      <c r="B15" s="52" t="s">
        <v>40</v>
      </c>
      <c r="C15" s="51">
        <v>0</v>
      </c>
      <c r="D15" s="51">
        <v>0</v>
      </c>
      <c r="E15" s="51">
        <v>0</v>
      </c>
      <c r="F15" s="51">
        <v>0</v>
      </c>
      <c r="G15" s="51">
        <v>27.8</v>
      </c>
      <c r="H15" s="51">
        <v>39.299999999999997</v>
      </c>
      <c r="I15" s="51">
        <v>0</v>
      </c>
      <c r="J15" s="51">
        <v>0</v>
      </c>
      <c r="K15" s="51">
        <v>6.0000000000000001E-3</v>
      </c>
      <c r="L15" s="51">
        <v>8.0000000000000002E-3</v>
      </c>
      <c r="M15" s="51">
        <v>0</v>
      </c>
      <c r="N15" s="51">
        <v>0</v>
      </c>
      <c r="O15" s="51">
        <v>0</v>
      </c>
      <c r="P15" s="51">
        <v>0</v>
      </c>
      <c r="Q15" s="51">
        <v>3.3603753871419002</v>
      </c>
      <c r="R15" s="51">
        <v>3.69635146895263</v>
      </c>
      <c r="S15" s="51">
        <v>6.0000000000000001E-3</v>
      </c>
      <c r="T15" s="51">
        <v>0</v>
      </c>
      <c r="U15" s="51">
        <v>0</v>
      </c>
      <c r="V15" s="51">
        <v>5.9820716775474602E-3</v>
      </c>
      <c r="W15" s="51">
        <v>7.9681696491768796E-3</v>
      </c>
      <c r="X15" s="51">
        <v>0</v>
      </c>
      <c r="Y15" s="51">
        <v>11.499999999999901</v>
      </c>
      <c r="Z15" s="51">
        <v>0</v>
      </c>
      <c r="AA15" s="51">
        <v>2E-3</v>
      </c>
      <c r="AB15" s="51">
        <v>0</v>
      </c>
      <c r="AC15" s="51">
        <v>2.5257286443082498</v>
      </c>
      <c r="AD15" s="51">
        <v>0</v>
      </c>
      <c r="AE15" s="51">
        <v>0</v>
      </c>
      <c r="AF15" s="51">
        <v>1.9980026626730501E-3</v>
      </c>
      <c r="AG15" s="51" t="b">
        <f>AND("Zeta" ='Keto-CTA with change &amp;Ln-Values'!$B14)</f>
        <v>0</v>
      </c>
      <c r="AH15" s="51" t="b">
        <f t="shared" si="0"/>
        <v>0</v>
      </c>
    </row>
    <row r="16" spans="1:35" x14ac:dyDescent="0.3">
      <c r="A16" s="51">
        <v>14</v>
      </c>
      <c r="B16" s="52" t="s">
        <v>40</v>
      </c>
      <c r="C16" s="51">
        <v>0</v>
      </c>
      <c r="D16" s="51">
        <v>0</v>
      </c>
      <c r="E16" s="51">
        <v>0</v>
      </c>
      <c r="F16" s="51">
        <v>0</v>
      </c>
      <c r="G16" s="51">
        <v>22.4</v>
      </c>
      <c r="H16" s="51">
        <v>55.9</v>
      </c>
      <c r="I16" s="51">
        <v>0</v>
      </c>
      <c r="J16" s="51">
        <v>0.1</v>
      </c>
      <c r="K16" s="51">
        <v>6.0000000000000001E-3</v>
      </c>
      <c r="L16" s="51">
        <v>1.6E-2</v>
      </c>
      <c r="M16" s="51">
        <v>0</v>
      </c>
      <c r="N16" s="51">
        <v>0</v>
      </c>
      <c r="O16" s="51">
        <v>0</v>
      </c>
      <c r="P16" s="51">
        <v>0</v>
      </c>
      <c r="Q16" s="51">
        <v>3.15273602236365</v>
      </c>
      <c r="R16" s="51">
        <v>4.0412953411322796</v>
      </c>
      <c r="S16" s="51">
        <v>6.0000000000000001E-3</v>
      </c>
      <c r="T16" s="51">
        <v>0</v>
      </c>
      <c r="U16" s="51">
        <v>9.5310179804324893E-2</v>
      </c>
      <c r="V16" s="51">
        <v>5.9820716775474602E-3</v>
      </c>
      <c r="W16" s="51">
        <v>1.5873349156290101E-2</v>
      </c>
      <c r="X16" s="51">
        <v>0</v>
      </c>
      <c r="Y16" s="51">
        <v>33.5</v>
      </c>
      <c r="Z16" s="51">
        <v>0.1</v>
      </c>
      <c r="AA16" s="51">
        <v>0.01</v>
      </c>
      <c r="AB16" s="51">
        <v>0</v>
      </c>
      <c r="AC16" s="51">
        <v>3.5409593240373098</v>
      </c>
      <c r="AD16" s="51">
        <v>0</v>
      </c>
      <c r="AE16" s="51">
        <v>9.5310179804324893E-2</v>
      </c>
      <c r="AF16" s="51">
        <v>9.9503308531680903E-3</v>
      </c>
      <c r="AG16" s="51" t="b">
        <f>AND("Zeta" ='Keto-CTA with change &amp;Ln-Values'!$B15)</f>
        <v>0</v>
      </c>
      <c r="AH16" s="51" t="b">
        <f t="shared" si="0"/>
        <v>0</v>
      </c>
    </row>
    <row r="17" spans="1:34" x14ac:dyDescent="0.3">
      <c r="A17" s="51">
        <v>15</v>
      </c>
      <c r="B17" s="52" t="s">
        <v>40</v>
      </c>
      <c r="C17" s="51">
        <v>0</v>
      </c>
      <c r="D17" s="51">
        <v>0</v>
      </c>
      <c r="E17" s="51">
        <v>0</v>
      </c>
      <c r="F17" s="51">
        <v>0</v>
      </c>
      <c r="G17" s="51">
        <v>26.5</v>
      </c>
      <c r="H17" s="51">
        <v>70.900000000000006</v>
      </c>
      <c r="I17" s="51">
        <v>0.1</v>
      </c>
      <c r="J17" s="51">
        <v>0.3</v>
      </c>
      <c r="K17" s="51">
        <v>8.9999999999999993E-3</v>
      </c>
      <c r="L17" s="51">
        <v>2.4E-2</v>
      </c>
      <c r="M17" s="51">
        <v>0</v>
      </c>
      <c r="N17" s="51">
        <v>0</v>
      </c>
      <c r="O17" s="51">
        <v>0</v>
      </c>
      <c r="P17" s="51">
        <v>0</v>
      </c>
      <c r="Q17" s="51">
        <v>3.31418600467252</v>
      </c>
      <c r="R17" s="51">
        <v>4.2752762647270002</v>
      </c>
      <c r="S17" s="51">
        <v>8.9999999999999993E-3</v>
      </c>
      <c r="T17" s="51">
        <v>9.5310179804324893E-2</v>
      </c>
      <c r="U17" s="51">
        <v>0.262364264467491</v>
      </c>
      <c r="V17" s="51">
        <v>8.9597413714717997E-3</v>
      </c>
      <c r="W17" s="51">
        <v>2.3716526617315999E-2</v>
      </c>
      <c r="X17" s="51">
        <v>0</v>
      </c>
      <c r="Y17" s="51">
        <v>44.4</v>
      </c>
      <c r="Z17" s="51">
        <v>0.19999999999999901</v>
      </c>
      <c r="AA17" s="51">
        <v>1.4999999999999999E-2</v>
      </c>
      <c r="AB17" s="51">
        <v>0</v>
      </c>
      <c r="AC17" s="51">
        <v>3.8155121050473002</v>
      </c>
      <c r="AD17" s="51">
        <v>0</v>
      </c>
      <c r="AE17" s="51">
        <v>0.18232155679395401</v>
      </c>
      <c r="AF17" s="51">
        <v>1.48886124937505E-2</v>
      </c>
      <c r="AG17" s="51" t="b">
        <f>AND("Zeta" ='Keto-CTA with change &amp;Ln-Values'!$B16)</f>
        <v>0</v>
      </c>
      <c r="AH17" s="51" t="b">
        <f t="shared" si="0"/>
        <v>0</v>
      </c>
    </row>
    <row r="18" spans="1:34" x14ac:dyDescent="0.3">
      <c r="A18" s="51">
        <v>16</v>
      </c>
      <c r="B18" s="52" t="s">
        <v>40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 t="b">
        <f>AND("Zeta" ='Keto-CTA with change &amp;Ln-Values'!$B17)</f>
        <v>0</v>
      </c>
      <c r="AH18" s="51" t="b">
        <f t="shared" si="0"/>
        <v>0</v>
      </c>
    </row>
    <row r="19" spans="1:34" x14ac:dyDescent="0.3">
      <c r="A19" s="51">
        <v>18</v>
      </c>
      <c r="B19" s="52" t="s">
        <v>40</v>
      </c>
      <c r="C19" s="51">
        <v>0</v>
      </c>
      <c r="D19" s="51">
        <v>0</v>
      </c>
      <c r="E19" s="51">
        <v>0</v>
      </c>
      <c r="F19" s="51">
        <v>0</v>
      </c>
      <c r="G19" s="51">
        <v>8</v>
      </c>
      <c r="H19" s="51">
        <v>15.3</v>
      </c>
      <c r="I19" s="51">
        <v>0</v>
      </c>
      <c r="J19" s="51">
        <v>0</v>
      </c>
      <c r="K19" s="51">
        <v>2E-3</v>
      </c>
      <c r="L19" s="51">
        <v>4.0000000000000001E-3</v>
      </c>
      <c r="M19" s="51">
        <v>0</v>
      </c>
      <c r="N19" s="51">
        <v>0</v>
      </c>
      <c r="O19" s="51">
        <v>0</v>
      </c>
      <c r="P19" s="51">
        <v>0</v>
      </c>
      <c r="Q19" s="51">
        <v>2.1972245773362098</v>
      </c>
      <c r="R19" s="51">
        <v>2.7911651078127102</v>
      </c>
      <c r="S19" s="51">
        <v>2E-3</v>
      </c>
      <c r="T19" s="51">
        <v>0</v>
      </c>
      <c r="U19" s="51">
        <v>0</v>
      </c>
      <c r="V19" s="51">
        <v>1.9980026626730501E-3</v>
      </c>
      <c r="W19" s="51">
        <v>3.9920212695374498E-3</v>
      </c>
      <c r="X19" s="51">
        <v>0</v>
      </c>
      <c r="Y19" s="51">
        <v>7.3</v>
      </c>
      <c r="Z19" s="51">
        <v>0</v>
      </c>
      <c r="AA19" s="51">
        <v>2E-3</v>
      </c>
      <c r="AB19" s="51">
        <v>0</v>
      </c>
      <c r="AC19" s="51">
        <v>2.1162555148025501</v>
      </c>
      <c r="AD19" s="51">
        <v>0</v>
      </c>
      <c r="AE19" s="51">
        <v>0</v>
      </c>
      <c r="AF19" s="51">
        <v>1.9980026626730501E-3</v>
      </c>
      <c r="AG19" s="51" t="b">
        <f>AND("Zeta" ='Keto-CTA with change &amp;Ln-Values'!$B19)</f>
        <v>0</v>
      </c>
      <c r="AH19" s="51" t="b">
        <f t="shared" si="0"/>
        <v>0</v>
      </c>
    </row>
    <row r="20" spans="1:34" x14ac:dyDescent="0.3">
      <c r="A20" s="51">
        <v>19</v>
      </c>
      <c r="B20" s="52" t="s">
        <v>40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13.6</v>
      </c>
      <c r="I20" s="51">
        <v>0</v>
      </c>
      <c r="J20" s="51">
        <v>2.5</v>
      </c>
      <c r="K20" s="51">
        <v>0</v>
      </c>
      <c r="L20" s="51">
        <v>1.2E-2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2.68102152871429</v>
      </c>
      <c r="S20" s="51">
        <v>0</v>
      </c>
      <c r="T20" s="51">
        <v>0</v>
      </c>
      <c r="U20" s="51">
        <v>1.2527629684953601</v>
      </c>
      <c r="V20" s="51">
        <v>0</v>
      </c>
      <c r="W20" s="51">
        <v>1.19285708652738E-2</v>
      </c>
      <c r="X20" s="51">
        <v>0</v>
      </c>
      <c r="Y20" s="51">
        <v>13.6</v>
      </c>
      <c r="Z20" s="51">
        <v>2.5</v>
      </c>
      <c r="AA20" s="51">
        <v>1.2E-2</v>
      </c>
      <c r="AB20" s="51">
        <v>0</v>
      </c>
      <c r="AC20" s="51">
        <v>2.68102152871429</v>
      </c>
      <c r="AD20" s="51">
        <v>0</v>
      </c>
      <c r="AE20" s="51">
        <v>1.2527629684953601</v>
      </c>
      <c r="AF20" s="51">
        <v>1.19285708652738E-2</v>
      </c>
      <c r="AG20" s="51" t="b">
        <f>AND("Zeta" ='Keto-CTA with change &amp;Ln-Values'!$B20)</f>
        <v>0</v>
      </c>
      <c r="AH20" s="51" t="b">
        <f t="shared" si="0"/>
        <v>0</v>
      </c>
    </row>
    <row r="21" spans="1:34" x14ac:dyDescent="0.3">
      <c r="A21" s="51">
        <v>20</v>
      </c>
      <c r="B21" s="52" t="s">
        <v>40</v>
      </c>
      <c r="C21" s="51">
        <v>0</v>
      </c>
      <c r="D21" s="51">
        <v>0</v>
      </c>
      <c r="E21" s="51">
        <v>0</v>
      </c>
      <c r="F21" s="51">
        <v>0</v>
      </c>
      <c r="G21" s="51">
        <v>45.7</v>
      </c>
      <c r="H21" s="51">
        <v>64</v>
      </c>
      <c r="I21" s="51">
        <v>0</v>
      </c>
      <c r="J21" s="51">
        <v>0</v>
      </c>
      <c r="K21" s="51">
        <v>1.7000000000000001E-2</v>
      </c>
      <c r="L21" s="51">
        <v>2.4E-2</v>
      </c>
      <c r="M21" s="51">
        <v>0</v>
      </c>
      <c r="N21" s="51">
        <v>0</v>
      </c>
      <c r="O21" s="51">
        <v>0</v>
      </c>
      <c r="P21" s="51">
        <v>0</v>
      </c>
      <c r="Q21" s="51">
        <v>3.8437441646748498</v>
      </c>
      <c r="R21" s="51">
        <v>4.1743872698956297</v>
      </c>
      <c r="S21" s="51">
        <v>1.7000000000000001E-2</v>
      </c>
      <c r="T21" s="51">
        <v>0</v>
      </c>
      <c r="U21" s="51">
        <v>0</v>
      </c>
      <c r="V21" s="51">
        <v>1.6857117066422799E-2</v>
      </c>
      <c r="W21" s="51">
        <v>2.3716526617315999E-2</v>
      </c>
      <c r="X21" s="51">
        <v>0</v>
      </c>
      <c r="Y21" s="51">
        <v>18.299999999999901</v>
      </c>
      <c r="Z21" s="51">
        <v>0</v>
      </c>
      <c r="AA21" s="51">
        <v>6.9999999999999897E-3</v>
      </c>
      <c r="AB21" s="51">
        <v>0</v>
      </c>
      <c r="AC21" s="51">
        <v>2.9601050959108299</v>
      </c>
      <c r="AD21" s="51">
        <v>0</v>
      </c>
      <c r="AE21" s="51">
        <v>0</v>
      </c>
      <c r="AF21" s="51">
        <v>6.9756137364251304E-3</v>
      </c>
      <c r="AG21" s="51" t="b">
        <f>AND("Zeta" ='Keto-CTA with change &amp;Ln-Values'!$B21)</f>
        <v>0</v>
      </c>
      <c r="AH21" s="51" t="b">
        <f t="shared" si="0"/>
        <v>0</v>
      </c>
    </row>
    <row r="22" spans="1:34" x14ac:dyDescent="0.3">
      <c r="A22" s="51">
        <v>21</v>
      </c>
      <c r="B22" s="52" t="s">
        <v>40</v>
      </c>
      <c r="C22" s="51">
        <v>0</v>
      </c>
      <c r="D22" s="51">
        <v>0</v>
      </c>
      <c r="E22" s="51">
        <v>0</v>
      </c>
      <c r="F22" s="51">
        <v>0</v>
      </c>
      <c r="G22" s="51">
        <v>13.5</v>
      </c>
      <c r="H22" s="51">
        <v>20.7</v>
      </c>
      <c r="I22" s="51">
        <v>0</v>
      </c>
      <c r="J22" s="51">
        <v>0</v>
      </c>
      <c r="K22" s="51">
        <v>5.0000000000000001E-3</v>
      </c>
      <c r="L22" s="51">
        <v>1.0999999999999999E-2</v>
      </c>
      <c r="M22" s="51">
        <v>0</v>
      </c>
      <c r="N22" s="51">
        <v>0</v>
      </c>
      <c r="O22" s="51">
        <v>0</v>
      </c>
      <c r="P22" s="51">
        <v>0</v>
      </c>
      <c r="Q22" s="51">
        <v>2.6741486494265199</v>
      </c>
      <c r="R22" s="51">
        <v>3.0773122605464098</v>
      </c>
      <c r="S22" s="51">
        <v>5.0000000000000001E-3</v>
      </c>
      <c r="T22" s="51">
        <v>0</v>
      </c>
      <c r="U22" s="51">
        <v>0</v>
      </c>
      <c r="V22" s="51">
        <v>4.9875415110389601E-3</v>
      </c>
      <c r="W22" s="51">
        <v>1.0939940038334201E-2</v>
      </c>
      <c r="X22" s="51">
        <v>0</v>
      </c>
      <c r="Y22" s="51">
        <v>7.1999999999999904</v>
      </c>
      <c r="Z22" s="51">
        <v>0</v>
      </c>
      <c r="AA22" s="51">
        <v>5.9999999999999897E-3</v>
      </c>
      <c r="AB22" s="51">
        <v>0</v>
      </c>
      <c r="AC22" s="51">
        <v>2.1041341542701999</v>
      </c>
      <c r="AD22" s="51">
        <v>0</v>
      </c>
      <c r="AE22" s="51">
        <v>0</v>
      </c>
      <c r="AF22" s="51">
        <v>5.9820716775474602E-3</v>
      </c>
      <c r="AG22" s="51" t="b">
        <f>AND("Zeta" ='Keto-CTA with change &amp;Ln-Values'!$B22)</f>
        <v>0</v>
      </c>
      <c r="AH22" s="51" t="b">
        <f t="shared" si="0"/>
        <v>0</v>
      </c>
    </row>
    <row r="23" spans="1:34" x14ac:dyDescent="0.3">
      <c r="A23" s="51">
        <v>22</v>
      </c>
      <c r="B23" s="52" t="s">
        <v>40</v>
      </c>
      <c r="C23" s="51">
        <v>0</v>
      </c>
      <c r="D23" s="51">
        <v>0</v>
      </c>
      <c r="E23" s="51">
        <v>0</v>
      </c>
      <c r="F23" s="51">
        <v>0</v>
      </c>
      <c r="G23" s="51">
        <v>1.7</v>
      </c>
      <c r="H23" s="51">
        <v>6.8</v>
      </c>
      <c r="I23" s="51">
        <v>0</v>
      </c>
      <c r="J23" s="51">
        <v>0.2</v>
      </c>
      <c r="K23" s="51">
        <v>1E-3</v>
      </c>
      <c r="L23" s="51">
        <v>3.0000000000000001E-3</v>
      </c>
      <c r="M23" s="51">
        <v>0</v>
      </c>
      <c r="N23" s="51">
        <v>0</v>
      </c>
      <c r="O23" s="51">
        <v>0</v>
      </c>
      <c r="P23" s="51">
        <v>0</v>
      </c>
      <c r="Q23" s="51">
        <v>0.993251773010283</v>
      </c>
      <c r="R23" s="51">
        <v>2.05412373369554</v>
      </c>
      <c r="S23" s="51">
        <v>1E-3</v>
      </c>
      <c r="T23" s="51">
        <v>0</v>
      </c>
      <c r="U23" s="51">
        <v>0.18232155679395401</v>
      </c>
      <c r="V23" s="51">
        <v>9.9950033308342299E-4</v>
      </c>
      <c r="W23" s="51">
        <v>2.9955089797983701E-3</v>
      </c>
      <c r="X23" s="51">
        <v>0</v>
      </c>
      <c r="Y23" s="51">
        <v>5.0999999999999996</v>
      </c>
      <c r="Z23" s="51">
        <v>0.2</v>
      </c>
      <c r="AA23" s="51">
        <v>2E-3</v>
      </c>
      <c r="AB23" s="51">
        <v>0</v>
      </c>
      <c r="AC23" s="51">
        <v>1.8082887711792599</v>
      </c>
      <c r="AD23" s="51">
        <v>0</v>
      </c>
      <c r="AE23" s="51">
        <v>0.18232155679395401</v>
      </c>
      <c r="AF23" s="51">
        <v>1.9980026626730501E-3</v>
      </c>
      <c r="AG23" s="51" t="b">
        <f>AND("Zeta" ='Keto-CTA with change &amp;Ln-Values'!$B23)</f>
        <v>0</v>
      </c>
      <c r="AH23" s="51" t="b">
        <f t="shared" si="0"/>
        <v>0</v>
      </c>
    </row>
    <row r="24" spans="1:34" x14ac:dyDescent="0.3">
      <c r="A24" s="51">
        <v>23</v>
      </c>
      <c r="B24" s="52" t="s">
        <v>40</v>
      </c>
      <c r="C24" s="51">
        <v>0</v>
      </c>
      <c r="D24" s="51">
        <v>0</v>
      </c>
      <c r="E24" s="51">
        <v>0</v>
      </c>
      <c r="F24" s="51">
        <v>0</v>
      </c>
      <c r="G24" s="51">
        <v>21</v>
      </c>
      <c r="H24" s="51">
        <v>67.3</v>
      </c>
      <c r="I24" s="51">
        <v>0.3</v>
      </c>
      <c r="J24" s="51">
        <v>0.4</v>
      </c>
      <c r="K24" s="51">
        <v>5.0000000000000001E-3</v>
      </c>
      <c r="L24" s="51">
        <v>1.6E-2</v>
      </c>
      <c r="M24" s="51">
        <v>0</v>
      </c>
      <c r="N24" s="51">
        <v>0</v>
      </c>
      <c r="O24" s="51">
        <v>0</v>
      </c>
      <c r="P24" s="51">
        <v>0</v>
      </c>
      <c r="Q24" s="51">
        <v>3.0910424533583098</v>
      </c>
      <c r="R24" s="51">
        <v>4.2239097665767398</v>
      </c>
      <c r="S24" s="51">
        <v>5.0000000000000001E-3</v>
      </c>
      <c r="T24" s="51">
        <v>0.262364264467491</v>
      </c>
      <c r="U24" s="51">
        <v>0.33647223662121201</v>
      </c>
      <c r="V24" s="51">
        <v>4.9875415110389601E-3</v>
      </c>
      <c r="W24" s="51">
        <v>1.5873349156290101E-2</v>
      </c>
      <c r="X24" s="51">
        <v>0</v>
      </c>
      <c r="Y24" s="51">
        <v>46.3</v>
      </c>
      <c r="Z24" s="51">
        <v>0.1</v>
      </c>
      <c r="AA24" s="51">
        <v>1.0999999999999999E-2</v>
      </c>
      <c r="AB24" s="51">
        <v>0</v>
      </c>
      <c r="AC24" s="51">
        <v>3.85651029549788</v>
      </c>
      <c r="AD24" s="51">
        <v>0</v>
      </c>
      <c r="AE24" s="51">
        <v>9.5310179804324893E-2</v>
      </c>
      <c r="AF24" s="51">
        <v>1.0939940038334201E-2</v>
      </c>
      <c r="AG24" s="51" t="b">
        <f>AND("Zeta" ='Keto-CTA with change &amp;Ln-Values'!$B24)</f>
        <v>0</v>
      </c>
      <c r="AH24" s="51" t="b">
        <f t="shared" si="0"/>
        <v>0</v>
      </c>
    </row>
    <row r="25" spans="1:34" x14ac:dyDescent="0.3">
      <c r="A25" s="51">
        <v>24</v>
      </c>
      <c r="B25" s="52" t="s">
        <v>40</v>
      </c>
      <c r="C25" s="51">
        <v>0</v>
      </c>
      <c r="D25" s="51">
        <v>0</v>
      </c>
      <c r="E25" s="51">
        <v>0</v>
      </c>
      <c r="F25" s="51">
        <v>0</v>
      </c>
      <c r="G25" s="51">
        <v>5.7</v>
      </c>
      <c r="H25" s="51">
        <v>9.9</v>
      </c>
      <c r="I25" s="51">
        <v>0</v>
      </c>
      <c r="J25" s="51">
        <v>0</v>
      </c>
      <c r="K25" s="51">
        <v>1E-3</v>
      </c>
      <c r="L25" s="51">
        <v>2E-3</v>
      </c>
      <c r="M25" s="51">
        <v>0</v>
      </c>
      <c r="N25" s="51">
        <v>0</v>
      </c>
      <c r="O25" s="51">
        <v>0</v>
      </c>
      <c r="P25" s="51">
        <v>0</v>
      </c>
      <c r="Q25" s="51">
        <v>1.90210752639692</v>
      </c>
      <c r="R25" s="51">
        <v>2.38876278923509</v>
      </c>
      <c r="S25" s="51">
        <v>1E-3</v>
      </c>
      <c r="T25" s="51">
        <v>0</v>
      </c>
      <c r="U25" s="51">
        <v>0</v>
      </c>
      <c r="V25" s="51">
        <v>9.9950033308342299E-4</v>
      </c>
      <c r="W25" s="51">
        <v>1.9980026626730501E-3</v>
      </c>
      <c r="X25" s="51">
        <v>0</v>
      </c>
      <c r="Y25" s="51">
        <v>4.2</v>
      </c>
      <c r="Z25" s="51">
        <v>0</v>
      </c>
      <c r="AA25" s="51">
        <v>1E-3</v>
      </c>
      <c r="AB25" s="51">
        <v>0</v>
      </c>
      <c r="AC25" s="51">
        <v>1.6486586255873801</v>
      </c>
      <c r="AD25" s="51">
        <v>0</v>
      </c>
      <c r="AE25" s="51">
        <v>0</v>
      </c>
      <c r="AF25" s="51">
        <v>9.9950033308342299E-4</v>
      </c>
      <c r="AG25" s="51" t="b">
        <f>AND("Zeta" ='Keto-CTA with change &amp;Ln-Values'!$B25)</f>
        <v>0</v>
      </c>
      <c r="AH25" s="51" t="b">
        <f t="shared" si="0"/>
        <v>0</v>
      </c>
    </row>
    <row r="26" spans="1:34" x14ac:dyDescent="0.3">
      <c r="A26" s="51">
        <v>25</v>
      </c>
      <c r="B26" s="52" t="s">
        <v>40</v>
      </c>
      <c r="C26" s="51">
        <v>0</v>
      </c>
      <c r="D26" s="51">
        <v>0</v>
      </c>
      <c r="E26" s="51">
        <v>0</v>
      </c>
      <c r="F26" s="51">
        <v>0</v>
      </c>
      <c r="G26" s="51">
        <v>16.5</v>
      </c>
      <c r="H26" s="51">
        <v>58.4</v>
      </c>
      <c r="I26" s="51">
        <v>0</v>
      </c>
      <c r="J26" s="51">
        <v>0</v>
      </c>
      <c r="K26" s="51">
        <v>5.0000000000000001E-3</v>
      </c>
      <c r="L26" s="51">
        <v>1.9E-2</v>
      </c>
      <c r="M26" s="51">
        <v>0</v>
      </c>
      <c r="N26" s="51">
        <v>0</v>
      </c>
      <c r="O26" s="51">
        <v>0</v>
      </c>
      <c r="P26" s="51">
        <v>0</v>
      </c>
      <c r="Q26" s="51">
        <v>2.8622008809294601</v>
      </c>
      <c r="R26" s="51">
        <v>4.0842942263685904</v>
      </c>
      <c r="S26" s="51">
        <v>5.0000000000000001E-3</v>
      </c>
      <c r="T26" s="51">
        <v>0</v>
      </c>
      <c r="U26" s="51">
        <v>0</v>
      </c>
      <c r="V26" s="51">
        <v>4.9875415110389601E-3</v>
      </c>
      <c r="W26" s="51">
        <v>1.8821754240587601E-2</v>
      </c>
      <c r="X26" s="51">
        <v>0</v>
      </c>
      <c r="Y26" s="51">
        <v>41.9</v>
      </c>
      <c r="Z26" s="51">
        <v>0</v>
      </c>
      <c r="AA26" s="51">
        <v>1.39999999999999E-2</v>
      </c>
      <c r="AB26" s="51">
        <v>0</v>
      </c>
      <c r="AC26" s="51">
        <v>3.7588718259339702</v>
      </c>
      <c r="AD26" s="51">
        <v>0</v>
      </c>
      <c r="AE26" s="51">
        <v>0</v>
      </c>
      <c r="AF26" s="51">
        <v>1.3902905168991401E-2</v>
      </c>
      <c r="AG26" s="51" t="b">
        <f>AND("Zeta" ='Keto-CTA with change &amp;Ln-Values'!$B26)</f>
        <v>0</v>
      </c>
      <c r="AH26" s="51" t="b">
        <f t="shared" si="0"/>
        <v>0</v>
      </c>
    </row>
    <row r="27" spans="1:34" x14ac:dyDescent="0.3">
      <c r="A27" s="51">
        <v>26</v>
      </c>
      <c r="B27" s="52" t="s">
        <v>40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9.1999999999999993</v>
      </c>
      <c r="I27" s="51">
        <v>0</v>
      </c>
      <c r="J27" s="51">
        <v>0</v>
      </c>
      <c r="K27" s="51">
        <v>0</v>
      </c>
      <c r="L27" s="51">
        <v>4.0000000000000001E-3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2.3223877202902199</v>
      </c>
      <c r="S27" s="51">
        <v>0</v>
      </c>
      <c r="T27" s="51">
        <v>0</v>
      </c>
      <c r="U27" s="51">
        <v>0</v>
      </c>
      <c r="V27" s="51">
        <v>0</v>
      </c>
      <c r="W27" s="51">
        <v>3.9920212695374498E-3</v>
      </c>
      <c r="X27" s="51">
        <v>0</v>
      </c>
      <c r="Y27" s="51">
        <v>9.1999999999999993</v>
      </c>
      <c r="Z27" s="51">
        <v>0</v>
      </c>
      <c r="AA27" s="51">
        <v>4.0000000000000001E-3</v>
      </c>
      <c r="AB27" s="51">
        <v>0</v>
      </c>
      <c r="AC27" s="51">
        <v>2.3223877202902199</v>
      </c>
      <c r="AD27" s="51">
        <v>0</v>
      </c>
      <c r="AE27" s="51">
        <v>0</v>
      </c>
      <c r="AF27" s="51">
        <v>3.9920212695374498E-3</v>
      </c>
      <c r="AG27" s="51" t="b">
        <f>AND("Zeta" ='Keto-CTA with change &amp;Ln-Values'!$B27)</f>
        <v>0</v>
      </c>
      <c r="AH27" s="51" t="b">
        <f t="shared" si="0"/>
        <v>0</v>
      </c>
    </row>
    <row r="28" spans="1:34" x14ac:dyDescent="0.3">
      <c r="A28" s="51">
        <v>27</v>
      </c>
      <c r="B28" s="52" t="s">
        <v>40</v>
      </c>
      <c r="C28" s="51">
        <v>0</v>
      </c>
      <c r="D28" s="51">
        <v>0</v>
      </c>
      <c r="E28" s="51">
        <v>0</v>
      </c>
      <c r="F28" s="51">
        <v>0</v>
      </c>
      <c r="G28" s="51">
        <v>23.3</v>
      </c>
      <c r="H28" s="51">
        <v>25.7</v>
      </c>
      <c r="I28" s="51">
        <v>0.1</v>
      </c>
      <c r="J28" s="51">
        <v>0.1</v>
      </c>
      <c r="K28" s="51">
        <v>8.0000000000000002E-3</v>
      </c>
      <c r="L28" s="51">
        <v>8.0000000000000002E-3</v>
      </c>
      <c r="M28" s="51">
        <v>0</v>
      </c>
      <c r="N28" s="51">
        <v>0</v>
      </c>
      <c r="O28" s="51">
        <v>0</v>
      </c>
      <c r="P28" s="51">
        <v>0</v>
      </c>
      <c r="Q28" s="51">
        <v>3.1904763503465001</v>
      </c>
      <c r="R28" s="51">
        <v>3.2846635654062002</v>
      </c>
      <c r="S28" s="51">
        <v>8.0000000000000002E-3</v>
      </c>
      <c r="T28" s="51">
        <v>9.5310179804324893E-2</v>
      </c>
      <c r="U28" s="51">
        <v>9.5310179804324893E-2</v>
      </c>
      <c r="V28" s="51">
        <v>7.9681696491768796E-3</v>
      </c>
      <c r="W28" s="51">
        <v>7.9681696491768796E-3</v>
      </c>
      <c r="X28" s="51">
        <v>0</v>
      </c>
      <c r="Y28" s="51">
        <v>2.3999999999999901</v>
      </c>
      <c r="Z28" s="51">
        <v>0</v>
      </c>
      <c r="AA28" s="51">
        <v>0</v>
      </c>
      <c r="AB28" s="51">
        <v>0</v>
      </c>
      <c r="AC28" s="51">
        <v>1.2237754316221101</v>
      </c>
      <c r="AD28" s="51">
        <v>0</v>
      </c>
      <c r="AE28" s="51">
        <v>0</v>
      </c>
      <c r="AF28" s="51">
        <v>0</v>
      </c>
      <c r="AG28" s="51" t="b">
        <f>AND("Zeta" ='Keto-CTA with change &amp;Ln-Values'!$B28)</f>
        <v>0</v>
      </c>
      <c r="AH28" s="51" t="b">
        <f t="shared" si="0"/>
        <v>0</v>
      </c>
    </row>
    <row r="29" spans="1:34" x14ac:dyDescent="0.3">
      <c r="A29" s="51">
        <v>28</v>
      </c>
      <c r="B29" s="52" t="s">
        <v>40</v>
      </c>
      <c r="C29" s="51">
        <v>0</v>
      </c>
      <c r="D29" s="51">
        <v>0</v>
      </c>
      <c r="E29" s="51">
        <v>0</v>
      </c>
      <c r="F29" s="51">
        <v>0</v>
      </c>
      <c r="G29" s="51">
        <v>5.3</v>
      </c>
      <c r="H29" s="51">
        <v>5.3</v>
      </c>
      <c r="I29" s="51">
        <v>0</v>
      </c>
      <c r="J29" s="51">
        <v>0.1</v>
      </c>
      <c r="K29" s="51">
        <v>2E-3</v>
      </c>
      <c r="L29" s="51">
        <v>2E-3</v>
      </c>
      <c r="M29" s="51">
        <v>0</v>
      </c>
      <c r="N29" s="51">
        <v>0</v>
      </c>
      <c r="O29" s="51">
        <v>0</v>
      </c>
      <c r="P29" s="51">
        <v>0</v>
      </c>
      <c r="Q29" s="51">
        <v>1.84054963339748</v>
      </c>
      <c r="R29" s="51">
        <v>1.84054963339748</v>
      </c>
      <c r="S29" s="51">
        <v>2E-3</v>
      </c>
      <c r="T29" s="51">
        <v>0</v>
      </c>
      <c r="U29" s="51">
        <v>9.5310179804324893E-2</v>
      </c>
      <c r="V29" s="51">
        <v>1.9980026626730501E-3</v>
      </c>
      <c r="W29" s="51">
        <v>1.9980026626730501E-3</v>
      </c>
      <c r="X29" s="51">
        <v>0</v>
      </c>
      <c r="Y29" s="51">
        <v>0</v>
      </c>
      <c r="Z29" s="51">
        <v>0.1</v>
      </c>
      <c r="AA29" s="51">
        <v>0</v>
      </c>
      <c r="AB29" s="51">
        <v>0</v>
      </c>
      <c r="AC29" s="51">
        <v>0</v>
      </c>
      <c r="AD29" s="51">
        <v>0</v>
      </c>
      <c r="AE29" s="51">
        <v>9.5310179804324893E-2</v>
      </c>
      <c r="AF29" s="51">
        <v>0</v>
      </c>
      <c r="AG29" s="51" t="b">
        <f>AND("Zeta" ='Keto-CTA with change &amp;Ln-Values'!$B29)</f>
        <v>0</v>
      </c>
      <c r="AH29" s="51" t="b">
        <f t="shared" si="0"/>
        <v>0</v>
      </c>
    </row>
    <row r="30" spans="1:34" x14ac:dyDescent="0.3">
      <c r="A30" s="51">
        <v>29</v>
      </c>
      <c r="B30" s="52" t="s">
        <v>40</v>
      </c>
      <c r="C30" s="51">
        <v>0</v>
      </c>
      <c r="D30" s="51">
        <v>0</v>
      </c>
      <c r="E30" s="51">
        <v>0</v>
      </c>
      <c r="F30" s="51">
        <v>0</v>
      </c>
      <c r="G30" s="51">
        <v>101.1</v>
      </c>
      <c r="H30" s="51">
        <v>156.6</v>
      </c>
      <c r="I30" s="51">
        <v>0</v>
      </c>
      <c r="J30" s="51">
        <v>0</v>
      </c>
      <c r="K30" s="51">
        <v>2.4E-2</v>
      </c>
      <c r="L30" s="51">
        <v>3.7999999999999999E-2</v>
      </c>
      <c r="M30" s="51">
        <v>0</v>
      </c>
      <c r="N30" s="51">
        <v>0</v>
      </c>
      <c r="O30" s="51">
        <v>0</v>
      </c>
      <c r="P30" s="51">
        <v>0</v>
      </c>
      <c r="Q30" s="51">
        <v>4.6259527251706096</v>
      </c>
      <c r="R30" s="51">
        <v>5.0600601774237699</v>
      </c>
      <c r="S30" s="51">
        <v>2.4E-2</v>
      </c>
      <c r="T30" s="51">
        <v>0</v>
      </c>
      <c r="U30" s="51">
        <v>0</v>
      </c>
      <c r="V30" s="51">
        <v>2.3716526617315999E-2</v>
      </c>
      <c r="W30" s="51">
        <v>3.7295784743696901E-2</v>
      </c>
      <c r="X30" s="51">
        <v>0</v>
      </c>
      <c r="Y30" s="51">
        <v>55.5</v>
      </c>
      <c r="Z30" s="51">
        <v>0</v>
      </c>
      <c r="AA30" s="51">
        <v>1.39999999999999E-2</v>
      </c>
      <c r="AB30" s="51">
        <v>0</v>
      </c>
      <c r="AC30" s="51">
        <v>4.0342406381523901</v>
      </c>
      <c r="AD30" s="51">
        <v>0</v>
      </c>
      <c r="AE30" s="51">
        <v>0</v>
      </c>
      <c r="AF30" s="51">
        <v>1.3902905168991401E-2</v>
      </c>
      <c r="AG30" s="51" t="b">
        <f>AND("Zeta" ='Keto-CTA with change &amp;Ln-Values'!$B30)</f>
        <v>0</v>
      </c>
      <c r="AH30" s="51" t="b">
        <f t="shared" si="0"/>
        <v>0</v>
      </c>
    </row>
    <row r="31" spans="1:34" x14ac:dyDescent="0.3">
      <c r="A31" s="51">
        <v>30</v>
      </c>
      <c r="B31" s="52" t="s">
        <v>40</v>
      </c>
      <c r="C31" s="51">
        <v>0</v>
      </c>
      <c r="D31" s="51">
        <v>0</v>
      </c>
      <c r="E31" s="51">
        <v>0</v>
      </c>
      <c r="F31" s="51">
        <v>0</v>
      </c>
      <c r="G31" s="51">
        <v>9.9</v>
      </c>
      <c r="H31" s="51">
        <v>39.4</v>
      </c>
      <c r="I31" s="51">
        <v>0</v>
      </c>
      <c r="J31" s="51">
        <v>0.2</v>
      </c>
      <c r="K31" s="51">
        <v>3.0000000000000001E-3</v>
      </c>
      <c r="L31" s="51">
        <v>1.0999999999999999E-2</v>
      </c>
      <c r="M31" s="51">
        <v>0</v>
      </c>
      <c r="N31" s="51">
        <v>0</v>
      </c>
      <c r="O31" s="51">
        <v>0</v>
      </c>
      <c r="P31" s="51">
        <v>0</v>
      </c>
      <c r="Q31" s="51">
        <v>2.38876278923509</v>
      </c>
      <c r="R31" s="51">
        <v>3.6988297849671001</v>
      </c>
      <c r="S31" s="51">
        <v>3.0000000000000001E-3</v>
      </c>
      <c r="T31" s="51">
        <v>0</v>
      </c>
      <c r="U31" s="51">
        <v>0.18232155679395401</v>
      </c>
      <c r="V31" s="51">
        <v>2.9955089797983701E-3</v>
      </c>
      <c r="W31" s="51">
        <v>1.0939940038334201E-2</v>
      </c>
      <c r="X31" s="51">
        <v>0</v>
      </c>
      <c r="Y31" s="51">
        <v>29.5</v>
      </c>
      <c r="Z31" s="51">
        <v>0.2</v>
      </c>
      <c r="AA31" s="51">
        <v>8.0000000000000002E-3</v>
      </c>
      <c r="AB31" s="51">
        <v>0</v>
      </c>
      <c r="AC31" s="51">
        <v>3.4177266836133602</v>
      </c>
      <c r="AD31" s="51">
        <v>0</v>
      </c>
      <c r="AE31" s="51">
        <v>0.18232155679395401</v>
      </c>
      <c r="AF31" s="51">
        <v>7.9681696491768796E-3</v>
      </c>
      <c r="AG31" s="51" t="b">
        <f>AND("Zeta" ='Keto-CTA with change &amp;Ln-Values'!$B31)</f>
        <v>0</v>
      </c>
      <c r="AH31" s="51" t="b">
        <f t="shared" si="0"/>
        <v>0</v>
      </c>
    </row>
    <row r="32" spans="1:34" x14ac:dyDescent="0.3">
      <c r="A32" s="51">
        <v>31</v>
      </c>
      <c r="B32" s="52" t="s">
        <v>40</v>
      </c>
      <c r="C32" s="51">
        <v>0</v>
      </c>
      <c r="D32" s="51">
        <v>0</v>
      </c>
      <c r="E32" s="51">
        <v>0</v>
      </c>
      <c r="F32" s="51">
        <v>0</v>
      </c>
      <c r="G32" s="51">
        <v>3.3</v>
      </c>
      <c r="H32" s="51">
        <v>9</v>
      </c>
      <c r="I32" s="51">
        <v>0</v>
      </c>
      <c r="J32" s="51">
        <v>0.1</v>
      </c>
      <c r="K32" s="51">
        <v>1E-3</v>
      </c>
      <c r="L32" s="51">
        <v>4.0000000000000001E-3</v>
      </c>
      <c r="M32" s="51">
        <v>0</v>
      </c>
      <c r="N32" s="51">
        <v>0</v>
      </c>
      <c r="O32" s="51">
        <v>0</v>
      </c>
      <c r="P32" s="51">
        <v>0</v>
      </c>
      <c r="Q32" s="51">
        <v>1.45861502269951</v>
      </c>
      <c r="R32" s="51">
        <v>2.3025850929940401</v>
      </c>
      <c r="S32" s="51">
        <v>1E-3</v>
      </c>
      <c r="T32" s="51">
        <v>0</v>
      </c>
      <c r="U32" s="51">
        <v>9.5310179804324893E-2</v>
      </c>
      <c r="V32" s="51">
        <v>9.9950033308342299E-4</v>
      </c>
      <c r="W32" s="51">
        <v>3.9920212695374498E-3</v>
      </c>
      <c r="X32" s="51">
        <v>0</v>
      </c>
      <c r="Y32" s="51">
        <v>5.7</v>
      </c>
      <c r="Z32" s="51">
        <v>0.1</v>
      </c>
      <c r="AA32" s="51">
        <v>3.0000000000000001E-3</v>
      </c>
      <c r="AB32" s="51">
        <v>0</v>
      </c>
      <c r="AC32" s="51">
        <v>1.90210752639692</v>
      </c>
      <c r="AD32" s="51">
        <v>0</v>
      </c>
      <c r="AE32" s="51">
        <v>9.5310179804324893E-2</v>
      </c>
      <c r="AF32" s="51">
        <v>2.9955089797983701E-3</v>
      </c>
      <c r="AG32" s="51" t="b">
        <f>AND("Zeta" ='Keto-CTA with change &amp;Ln-Values'!$B32)</f>
        <v>0</v>
      </c>
      <c r="AH32" s="51" t="b">
        <f t="shared" si="0"/>
        <v>0</v>
      </c>
    </row>
    <row r="33" spans="1:34" x14ac:dyDescent="0.3">
      <c r="A33" s="51">
        <v>32</v>
      </c>
      <c r="B33" s="52" t="s">
        <v>40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3.9</v>
      </c>
      <c r="I33" s="51">
        <v>0</v>
      </c>
      <c r="J33" s="51">
        <v>0</v>
      </c>
      <c r="K33" s="51">
        <v>0</v>
      </c>
      <c r="L33" s="51">
        <v>2E-3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1.5892352051165799</v>
      </c>
      <c r="S33" s="51">
        <v>0</v>
      </c>
      <c r="T33" s="51">
        <v>0</v>
      </c>
      <c r="U33" s="51">
        <v>0</v>
      </c>
      <c r="V33" s="51">
        <v>0</v>
      </c>
      <c r="W33" s="51">
        <v>1.9980026626730501E-3</v>
      </c>
      <c r="X33" s="51">
        <v>0</v>
      </c>
      <c r="Y33" s="51">
        <v>3.9</v>
      </c>
      <c r="Z33" s="51">
        <v>0</v>
      </c>
      <c r="AA33" s="51">
        <v>2E-3</v>
      </c>
      <c r="AB33" s="51">
        <v>0</v>
      </c>
      <c r="AC33" s="51">
        <v>1.5892352051165799</v>
      </c>
      <c r="AD33" s="51">
        <v>0</v>
      </c>
      <c r="AE33" s="51">
        <v>0</v>
      </c>
      <c r="AF33" s="51">
        <v>1.9980026626730501E-3</v>
      </c>
      <c r="AG33" s="51" t="b">
        <f>AND("Zeta" ='Keto-CTA with change &amp;Ln-Values'!$B33)</f>
        <v>0</v>
      </c>
      <c r="AH33" s="51" t="b">
        <f t="shared" si="0"/>
        <v>0</v>
      </c>
    </row>
    <row r="34" spans="1:34" x14ac:dyDescent="0.3">
      <c r="A34" s="51">
        <v>33</v>
      </c>
      <c r="B34" s="52" t="s">
        <v>40</v>
      </c>
      <c r="C34" s="51">
        <v>0</v>
      </c>
      <c r="D34" s="51">
        <v>0</v>
      </c>
      <c r="E34" s="51">
        <v>0</v>
      </c>
      <c r="F34" s="51">
        <v>0</v>
      </c>
      <c r="G34" s="51">
        <v>15.4</v>
      </c>
      <c r="H34" s="51">
        <v>25.7</v>
      </c>
      <c r="I34" s="51">
        <v>0</v>
      </c>
      <c r="J34" s="51">
        <v>0</v>
      </c>
      <c r="K34" s="51">
        <v>7.0000000000000001E-3</v>
      </c>
      <c r="L34" s="51">
        <v>1.0999999999999999E-2</v>
      </c>
      <c r="M34" s="51">
        <v>0</v>
      </c>
      <c r="N34" s="51">
        <v>0</v>
      </c>
      <c r="O34" s="51">
        <v>0</v>
      </c>
      <c r="P34" s="51">
        <v>0</v>
      </c>
      <c r="Q34" s="51">
        <v>2.7972813348301502</v>
      </c>
      <c r="R34" s="51">
        <v>3.2846635654062002</v>
      </c>
      <c r="S34" s="51">
        <v>7.0000000000000001E-3</v>
      </c>
      <c r="T34" s="51">
        <v>0</v>
      </c>
      <c r="U34" s="51">
        <v>0</v>
      </c>
      <c r="V34" s="51">
        <v>6.9756137364251304E-3</v>
      </c>
      <c r="W34" s="51">
        <v>1.0939940038334201E-2</v>
      </c>
      <c r="X34" s="51">
        <v>0</v>
      </c>
      <c r="Y34" s="51">
        <v>10.299999999999899</v>
      </c>
      <c r="Z34" s="51">
        <v>0</v>
      </c>
      <c r="AA34" s="51">
        <v>3.9999999999999897E-3</v>
      </c>
      <c r="AB34" s="51">
        <v>0</v>
      </c>
      <c r="AC34" s="51">
        <v>2.42480272571829</v>
      </c>
      <c r="AD34" s="51">
        <v>0</v>
      </c>
      <c r="AE34" s="51">
        <v>0</v>
      </c>
      <c r="AF34" s="51">
        <v>3.9920212695374498E-3</v>
      </c>
      <c r="AG34" s="51" t="b">
        <f>AND("Zeta" ='Keto-CTA with change &amp;Ln-Values'!$B34)</f>
        <v>0</v>
      </c>
      <c r="AH34" s="51" t="b">
        <f t="shared" si="0"/>
        <v>0</v>
      </c>
    </row>
    <row r="35" spans="1:34" x14ac:dyDescent="0.3">
      <c r="A35" s="51">
        <v>34</v>
      </c>
      <c r="B35" s="52" t="s">
        <v>40</v>
      </c>
      <c r="C35" s="51">
        <v>0</v>
      </c>
      <c r="D35" s="51">
        <v>0</v>
      </c>
      <c r="E35" s="51">
        <v>0</v>
      </c>
      <c r="F35" s="51">
        <v>0</v>
      </c>
      <c r="G35" s="51">
        <v>24</v>
      </c>
      <c r="H35" s="51">
        <v>40.4</v>
      </c>
      <c r="I35" s="51">
        <v>0</v>
      </c>
      <c r="J35" s="51">
        <v>1.2</v>
      </c>
      <c r="K35" s="51">
        <v>1.0999999999999999E-2</v>
      </c>
      <c r="L35" s="51">
        <v>0.02</v>
      </c>
      <c r="M35" s="51">
        <v>0</v>
      </c>
      <c r="N35" s="51">
        <v>0</v>
      </c>
      <c r="O35" s="51">
        <v>0</v>
      </c>
      <c r="P35" s="51">
        <v>0</v>
      </c>
      <c r="Q35" s="51">
        <v>3.2188758248682001</v>
      </c>
      <c r="R35" s="51">
        <v>3.7232808808312599</v>
      </c>
      <c r="S35" s="51">
        <v>1.0999999999999999E-2</v>
      </c>
      <c r="T35" s="51">
        <v>0</v>
      </c>
      <c r="U35" s="51">
        <v>0.78845736036427005</v>
      </c>
      <c r="V35" s="51">
        <v>1.0939940038334201E-2</v>
      </c>
      <c r="W35" s="51">
        <v>1.9802627296179699E-2</v>
      </c>
      <c r="X35" s="51">
        <v>0</v>
      </c>
      <c r="Y35" s="51">
        <v>16.399999999999999</v>
      </c>
      <c r="Z35" s="51">
        <v>1.2</v>
      </c>
      <c r="AA35" s="51">
        <v>8.9999999999999993E-3</v>
      </c>
      <c r="AB35" s="51">
        <v>0</v>
      </c>
      <c r="AC35" s="51">
        <v>2.8564702062204801</v>
      </c>
      <c r="AD35" s="51">
        <v>0</v>
      </c>
      <c r="AE35" s="51">
        <v>0.78845736036427005</v>
      </c>
      <c r="AF35" s="51">
        <v>8.9597413714717997E-3</v>
      </c>
      <c r="AG35" s="51" t="b">
        <f>AND("Zeta" ='Keto-CTA with change &amp;Ln-Values'!$B35)</f>
        <v>0</v>
      </c>
      <c r="AH35" s="51" t="b">
        <f t="shared" si="0"/>
        <v>0</v>
      </c>
    </row>
    <row r="36" spans="1:34" x14ac:dyDescent="0.3">
      <c r="A36" s="51">
        <v>35</v>
      </c>
      <c r="B36" s="52" t="s">
        <v>40</v>
      </c>
      <c r="C36" s="51">
        <v>0</v>
      </c>
      <c r="D36" s="51">
        <v>0</v>
      </c>
      <c r="E36" s="51">
        <v>0</v>
      </c>
      <c r="F36" s="51">
        <v>0</v>
      </c>
      <c r="G36" s="51">
        <v>28.3</v>
      </c>
      <c r="H36" s="51">
        <v>58</v>
      </c>
      <c r="I36" s="51">
        <v>0</v>
      </c>
      <c r="J36" s="51">
        <v>0</v>
      </c>
      <c r="K36" s="51">
        <v>1.2999999999999999E-2</v>
      </c>
      <c r="L36" s="51">
        <v>3.5000000000000003E-2</v>
      </c>
      <c r="M36" s="51">
        <v>0</v>
      </c>
      <c r="N36" s="51">
        <v>0</v>
      </c>
      <c r="O36" s="51">
        <v>0</v>
      </c>
      <c r="P36" s="51">
        <v>0</v>
      </c>
      <c r="Q36" s="51">
        <v>3.37758751602302</v>
      </c>
      <c r="R36" s="51">
        <v>4.0775374439057197</v>
      </c>
      <c r="S36" s="51">
        <v>1.2999999999999999E-2</v>
      </c>
      <c r="T36" s="51">
        <v>0</v>
      </c>
      <c r="U36" s="51">
        <v>0</v>
      </c>
      <c r="V36" s="51">
        <v>1.29162252665462E-2</v>
      </c>
      <c r="W36" s="51">
        <v>3.4401426717332297E-2</v>
      </c>
      <c r="X36" s="51">
        <v>0</v>
      </c>
      <c r="Y36" s="51">
        <v>29.7</v>
      </c>
      <c r="Z36" s="51">
        <v>0</v>
      </c>
      <c r="AA36" s="51">
        <v>2.1999999999999999E-2</v>
      </c>
      <c r="AB36" s="51">
        <v>0</v>
      </c>
      <c r="AC36" s="51">
        <v>3.42426265459315</v>
      </c>
      <c r="AD36" s="51">
        <v>0</v>
      </c>
      <c r="AE36" s="51">
        <v>0</v>
      </c>
      <c r="AF36" s="51">
        <v>2.1761491781512699E-2</v>
      </c>
      <c r="AG36" s="51" t="b">
        <f>AND("Zeta" ='Keto-CTA with change &amp;Ln-Values'!$B36)</f>
        <v>0</v>
      </c>
      <c r="AH36" s="51" t="b">
        <f t="shared" si="0"/>
        <v>0</v>
      </c>
    </row>
    <row r="37" spans="1:34" x14ac:dyDescent="0.3">
      <c r="A37" s="51">
        <v>36</v>
      </c>
      <c r="B37" s="52" t="s">
        <v>40</v>
      </c>
      <c r="C37" s="51">
        <v>0</v>
      </c>
      <c r="D37" s="51">
        <v>0</v>
      </c>
      <c r="E37" s="51">
        <v>0</v>
      </c>
      <c r="F37" s="51">
        <v>0</v>
      </c>
      <c r="G37" s="51">
        <v>20.7</v>
      </c>
      <c r="H37" s="51">
        <v>26.1</v>
      </c>
      <c r="I37" s="51">
        <v>0</v>
      </c>
      <c r="J37" s="51">
        <v>0</v>
      </c>
      <c r="K37" s="51">
        <v>7.0000000000000001E-3</v>
      </c>
      <c r="L37" s="51">
        <v>0.01</v>
      </c>
      <c r="M37" s="51">
        <v>0</v>
      </c>
      <c r="N37" s="51">
        <v>0</v>
      </c>
      <c r="O37" s="51">
        <v>0</v>
      </c>
      <c r="P37" s="51">
        <v>0</v>
      </c>
      <c r="Q37" s="51">
        <v>3.0773122605464098</v>
      </c>
      <c r="R37" s="51">
        <v>3.2995337278856498</v>
      </c>
      <c r="S37" s="51">
        <v>7.0000000000000001E-3</v>
      </c>
      <c r="T37" s="51">
        <v>0</v>
      </c>
      <c r="U37" s="51">
        <v>0</v>
      </c>
      <c r="V37" s="51">
        <v>6.9756137364251304E-3</v>
      </c>
      <c r="W37" s="51">
        <v>9.9503308531680903E-3</v>
      </c>
      <c r="X37" s="51">
        <v>0</v>
      </c>
      <c r="Y37" s="51">
        <v>5.4</v>
      </c>
      <c r="Z37" s="51">
        <v>0</v>
      </c>
      <c r="AA37" s="51">
        <v>3.0000000000000001E-3</v>
      </c>
      <c r="AB37" s="51">
        <v>0</v>
      </c>
      <c r="AC37" s="51">
        <v>1.85629799036562</v>
      </c>
      <c r="AD37" s="51">
        <v>0</v>
      </c>
      <c r="AE37" s="51">
        <v>0</v>
      </c>
      <c r="AF37" s="51">
        <v>2.9955089797983701E-3</v>
      </c>
      <c r="AG37" s="51" t="b">
        <f>AND("Zeta" ='Keto-CTA with change &amp;Ln-Values'!$B37)</f>
        <v>0</v>
      </c>
      <c r="AH37" s="51" t="b">
        <f t="shared" si="0"/>
        <v>0</v>
      </c>
    </row>
    <row r="38" spans="1:34" x14ac:dyDescent="0.3">
      <c r="A38" s="51">
        <v>37</v>
      </c>
      <c r="B38" s="52" t="s">
        <v>40</v>
      </c>
      <c r="C38" s="51">
        <v>0</v>
      </c>
      <c r="D38" s="51">
        <v>0</v>
      </c>
      <c r="E38" s="51">
        <v>0</v>
      </c>
      <c r="F38" s="51">
        <v>0</v>
      </c>
      <c r="G38" s="51">
        <v>2.2000000000000002</v>
      </c>
      <c r="H38" s="51">
        <v>9.6999999999999993</v>
      </c>
      <c r="I38" s="51">
        <v>0.5</v>
      </c>
      <c r="J38" s="51">
        <v>1</v>
      </c>
      <c r="K38" s="51">
        <v>1E-3</v>
      </c>
      <c r="L38" s="51">
        <v>3.0000000000000001E-3</v>
      </c>
      <c r="M38" s="51">
        <v>0</v>
      </c>
      <c r="N38" s="51">
        <v>0</v>
      </c>
      <c r="O38" s="51">
        <v>0</v>
      </c>
      <c r="P38" s="51">
        <v>0</v>
      </c>
      <c r="Q38" s="51">
        <v>1.16315080980568</v>
      </c>
      <c r="R38" s="51">
        <v>2.3702437414678599</v>
      </c>
      <c r="S38" s="51">
        <v>1E-3</v>
      </c>
      <c r="T38" s="51">
        <v>0.405465108108164</v>
      </c>
      <c r="U38" s="51">
        <v>0.69314718055994495</v>
      </c>
      <c r="V38" s="51">
        <v>9.9950033308342299E-4</v>
      </c>
      <c r="W38" s="51">
        <v>2.9955089797983701E-3</v>
      </c>
      <c r="X38" s="51">
        <v>0</v>
      </c>
      <c r="Y38" s="51">
        <v>7.4999999999999902</v>
      </c>
      <c r="Z38" s="51">
        <v>0.5</v>
      </c>
      <c r="AA38" s="51">
        <v>2E-3</v>
      </c>
      <c r="AB38" s="51">
        <v>0</v>
      </c>
      <c r="AC38" s="51">
        <v>2.1400661634962699</v>
      </c>
      <c r="AD38" s="51">
        <v>0</v>
      </c>
      <c r="AE38" s="51">
        <v>0.405465108108164</v>
      </c>
      <c r="AF38" s="51">
        <v>1.9980026626730501E-3</v>
      </c>
      <c r="AG38" s="51" t="b">
        <f>AND("Zeta" ='Keto-CTA with change &amp;Ln-Values'!$B38)</f>
        <v>0</v>
      </c>
      <c r="AH38" s="51" t="b">
        <f t="shared" si="0"/>
        <v>0</v>
      </c>
    </row>
    <row r="39" spans="1:34" x14ac:dyDescent="0.3">
      <c r="A39" s="51">
        <v>38</v>
      </c>
      <c r="B39" s="52" t="s">
        <v>40</v>
      </c>
      <c r="C39" s="51">
        <v>0</v>
      </c>
      <c r="D39" s="51">
        <v>0</v>
      </c>
      <c r="E39" s="51">
        <v>0</v>
      </c>
      <c r="F39" s="51">
        <v>0</v>
      </c>
      <c r="G39" s="51">
        <v>12.4</v>
      </c>
      <c r="H39" s="51">
        <v>23</v>
      </c>
      <c r="I39" s="51">
        <v>0.3</v>
      </c>
      <c r="J39" s="51">
        <v>0.7</v>
      </c>
      <c r="K39" s="51">
        <v>4.0000000000000001E-3</v>
      </c>
      <c r="L39" s="51">
        <v>7.0000000000000001E-3</v>
      </c>
      <c r="M39" s="51">
        <v>0</v>
      </c>
      <c r="N39" s="51">
        <v>0</v>
      </c>
      <c r="O39" s="51">
        <v>0</v>
      </c>
      <c r="P39" s="51">
        <v>0</v>
      </c>
      <c r="Q39" s="51">
        <v>2.5952547069568599</v>
      </c>
      <c r="R39" s="51">
        <v>3.17805383034794</v>
      </c>
      <c r="S39" s="51">
        <v>4.0000000000000001E-3</v>
      </c>
      <c r="T39" s="51">
        <v>0.262364264467491</v>
      </c>
      <c r="U39" s="51">
        <v>0.53062825106217004</v>
      </c>
      <c r="V39" s="51">
        <v>3.9920212695374498E-3</v>
      </c>
      <c r="W39" s="51">
        <v>6.9756137364251304E-3</v>
      </c>
      <c r="X39" s="51">
        <v>0</v>
      </c>
      <c r="Y39" s="51">
        <v>10.6</v>
      </c>
      <c r="Z39" s="51">
        <v>0.39999999999999902</v>
      </c>
      <c r="AA39" s="51">
        <v>3.0000000000000001E-3</v>
      </c>
      <c r="AB39" s="51">
        <v>0</v>
      </c>
      <c r="AC39" s="51">
        <v>2.4510050981123102</v>
      </c>
      <c r="AD39" s="51">
        <v>0</v>
      </c>
      <c r="AE39" s="51">
        <v>0.33647223662121201</v>
      </c>
      <c r="AF39" s="51">
        <v>2.9955089797983701E-3</v>
      </c>
      <c r="AG39" s="51" t="b">
        <f>AND("Zeta" ='Keto-CTA with change &amp;Ln-Values'!$B39)</f>
        <v>0</v>
      </c>
      <c r="AH39" s="51" t="b">
        <f t="shared" si="0"/>
        <v>0</v>
      </c>
    </row>
    <row r="40" spans="1:34" x14ac:dyDescent="0.3">
      <c r="A40" s="51">
        <v>39</v>
      </c>
      <c r="B40" s="52" t="s">
        <v>40</v>
      </c>
      <c r="C40" s="51">
        <v>0</v>
      </c>
      <c r="D40" s="51">
        <v>0</v>
      </c>
      <c r="E40" s="51">
        <v>0</v>
      </c>
      <c r="F40" s="51">
        <v>0</v>
      </c>
      <c r="G40" s="51">
        <v>23.6</v>
      </c>
      <c r="H40" s="51">
        <v>44.3</v>
      </c>
      <c r="I40" s="51">
        <v>0</v>
      </c>
      <c r="J40" s="51">
        <v>0</v>
      </c>
      <c r="K40" s="51">
        <v>8.9999999999999993E-3</v>
      </c>
      <c r="L40" s="51">
        <v>1.4E-2</v>
      </c>
      <c r="M40" s="51">
        <v>0</v>
      </c>
      <c r="N40" s="51">
        <v>0</v>
      </c>
      <c r="O40" s="51">
        <v>0</v>
      </c>
      <c r="P40" s="51">
        <v>0</v>
      </c>
      <c r="Q40" s="51">
        <v>3.2027464429383099</v>
      </c>
      <c r="R40" s="51">
        <v>3.81330703248898</v>
      </c>
      <c r="S40" s="51">
        <v>8.9999999999999993E-3</v>
      </c>
      <c r="T40" s="51">
        <v>0</v>
      </c>
      <c r="U40" s="51">
        <v>0</v>
      </c>
      <c r="V40" s="51">
        <v>8.9597413714717997E-3</v>
      </c>
      <c r="W40" s="51">
        <v>1.3902905168991401E-2</v>
      </c>
      <c r="X40" s="51">
        <v>0</v>
      </c>
      <c r="Y40" s="51">
        <v>20.6999999999999</v>
      </c>
      <c r="Z40" s="51">
        <v>0</v>
      </c>
      <c r="AA40" s="51">
        <v>5.0000000000000001E-3</v>
      </c>
      <c r="AB40" s="51">
        <v>0</v>
      </c>
      <c r="AC40" s="51">
        <v>3.0773122605464098</v>
      </c>
      <c r="AD40" s="51">
        <v>0</v>
      </c>
      <c r="AE40" s="51">
        <v>0</v>
      </c>
      <c r="AF40" s="51">
        <v>4.9875415110389601E-3</v>
      </c>
      <c r="AG40" s="51" t="b">
        <f>AND("Zeta" ='Keto-CTA with change &amp;Ln-Values'!$B40)</f>
        <v>0</v>
      </c>
      <c r="AH40" s="51" t="b">
        <f t="shared" si="0"/>
        <v>0</v>
      </c>
    </row>
    <row r="41" spans="1:34" x14ac:dyDescent="0.3">
      <c r="A41" s="51">
        <v>40</v>
      </c>
      <c r="B41" s="52" t="s">
        <v>40</v>
      </c>
      <c r="C41" s="51">
        <v>0</v>
      </c>
      <c r="D41" s="51">
        <v>0</v>
      </c>
      <c r="E41" s="51">
        <v>0</v>
      </c>
      <c r="F41" s="51">
        <v>0</v>
      </c>
      <c r="G41" s="51">
        <v>17.2</v>
      </c>
      <c r="H41" s="51">
        <v>25.4</v>
      </c>
      <c r="I41" s="51">
        <v>0</v>
      </c>
      <c r="J41" s="51">
        <v>0.1</v>
      </c>
      <c r="K41" s="51">
        <v>5.0000000000000001E-3</v>
      </c>
      <c r="L41" s="51">
        <v>7.0000000000000001E-3</v>
      </c>
      <c r="M41" s="51">
        <v>0</v>
      </c>
      <c r="N41" s="51">
        <v>0</v>
      </c>
      <c r="O41" s="51">
        <v>0</v>
      </c>
      <c r="P41" s="51">
        <v>0</v>
      </c>
      <c r="Q41" s="51">
        <v>2.9014215940827399</v>
      </c>
      <c r="R41" s="51">
        <v>3.2733640101522701</v>
      </c>
      <c r="S41" s="51">
        <v>5.0000000000000001E-3</v>
      </c>
      <c r="T41" s="51">
        <v>0</v>
      </c>
      <c r="U41" s="51">
        <v>9.5310179804324893E-2</v>
      </c>
      <c r="V41" s="51">
        <v>4.9875415110389601E-3</v>
      </c>
      <c r="W41" s="51">
        <v>6.9756137364251304E-3</v>
      </c>
      <c r="X41" s="51">
        <v>0</v>
      </c>
      <c r="Y41" s="51">
        <v>8.1999999999999993</v>
      </c>
      <c r="Z41" s="51">
        <v>0.1</v>
      </c>
      <c r="AA41" s="51">
        <v>2E-3</v>
      </c>
      <c r="AB41" s="51">
        <v>0</v>
      </c>
      <c r="AC41" s="51">
        <v>2.2192034840549901</v>
      </c>
      <c r="AD41" s="51">
        <v>0</v>
      </c>
      <c r="AE41" s="51">
        <v>9.5310179804324893E-2</v>
      </c>
      <c r="AF41" s="51">
        <v>1.9980026626730501E-3</v>
      </c>
      <c r="AG41" s="51" t="b">
        <f>AND("Zeta" ='Keto-CTA with change &amp;Ln-Values'!$B41)</f>
        <v>0</v>
      </c>
      <c r="AH41" s="51" t="b">
        <f t="shared" si="0"/>
        <v>0</v>
      </c>
    </row>
    <row r="42" spans="1:34" x14ac:dyDescent="0.3">
      <c r="A42" s="51">
        <v>41</v>
      </c>
      <c r="B42" s="52" t="s">
        <v>40</v>
      </c>
      <c r="C42" s="51">
        <v>0</v>
      </c>
      <c r="D42" s="51">
        <v>0</v>
      </c>
      <c r="E42" s="51">
        <v>0</v>
      </c>
      <c r="F42" s="51">
        <v>0</v>
      </c>
      <c r="G42" s="51">
        <v>24.2</v>
      </c>
      <c r="H42" s="51">
        <v>35.299999999999997</v>
      </c>
      <c r="I42" s="51">
        <v>0</v>
      </c>
      <c r="J42" s="51">
        <v>0</v>
      </c>
      <c r="K42" s="51">
        <v>7.0000000000000001E-3</v>
      </c>
      <c r="L42" s="51">
        <v>0.01</v>
      </c>
      <c r="M42" s="51">
        <v>0</v>
      </c>
      <c r="N42" s="51">
        <v>0</v>
      </c>
      <c r="O42" s="51">
        <v>0</v>
      </c>
      <c r="P42" s="51">
        <v>0</v>
      </c>
      <c r="Q42" s="51">
        <v>3.2268439945173699</v>
      </c>
      <c r="R42" s="51">
        <v>3.5918177412708001</v>
      </c>
      <c r="S42" s="51">
        <v>7.0000000000000001E-3</v>
      </c>
      <c r="T42" s="51">
        <v>0</v>
      </c>
      <c r="U42" s="51">
        <v>0</v>
      </c>
      <c r="V42" s="51">
        <v>6.9756137364251304E-3</v>
      </c>
      <c r="W42" s="51">
        <v>9.9503308531680903E-3</v>
      </c>
      <c r="X42" s="51">
        <v>0</v>
      </c>
      <c r="Y42" s="51">
        <v>11.0999999999999</v>
      </c>
      <c r="Z42" s="51">
        <v>0</v>
      </c>
      <c r="AA42" s="51">
        <v>3.0000000000000001E-3</v>
      </c>
      <c r="AB42" s="51">
        <v>0</v>
      </c>
      <c r="AC42" s="51">
        <v>2.4932054526026901</v>
      </c>
      <c r="AD42" s="51">
        <v>0</v>
      </c>
      <c r="AE42" s="51">
        <v>0</v>
      </c>
      <c r="AF42" s="51">
        <v>2.9955089797983701E-3</v>
      </c>
      <c r="AG42" s="51" t="b">
        <f>AND("Zeta" ='Keto-CTA with change &amp;Ln-Values'!$B42)</f>
        <v>0</v>
      </c>
      <c r="AH42" s="51" t="b">
        <f t="shared" si="0"/>
        <v>0</v>
      </c>
    </row>
    <row r="43" spans="1:34" x14ac:dyDescent="0.3">
      <c r="A43" s="51">
        <v>42</v>
      </c>
      <c r="B43" s="52" t="s">
        <v>40</v>
      </c>
      <c r="C43" s="51">
        <v>0</v>
      </c>
      <c r="D43" s="51">
        <v>0</v>
      </c>
      <c r="E43" s="51">
        <v>0</v>
      </c>
      <c r="F43" s="51">
        <v>0</v>
      </c>
      <c r="G43" s="51">
        <v>1.4</v>
      </c>
      <c r="H43" s="51">
        <v>4.5999999999999996</v>
      </c>
      <c r="I43" s="51">
        <v>0</v>
      </c>
      <c r="J43" s="51">
        <v>0</v>
      </c>
      <c r="K43" s="51">
        <v>1E-3</v>
      </c>
      <c r="L43" s="51">
        <v>2E-3</v>
      </c>
      <c r="M43" s="51">
        <v>0</v>
      </c>
      <c r="N43" s="51">
        <v>0</v>
      </c>
      <c r="O43" s="51">
        <v>0</v>
      </c>
      <c r="P43" s="51">
        <v>0</v>
      </c>
      <c r="Q43" s="51">
        <v>0.87546873735389896</v>
      </c>
      <c r="R43" s="51">
        <v>1.7227665977411</v>
      </c>
      <c r="S43" s="51">
        <v>1E-3</v>
      </c>
      <c r="T43" s="51">
        <v>0</v>
      </c>
      <c r="U43" s="51">
        <v>0</v>
      </c>
      <c r="V43" s="51">
        <v>9.9950033308342299E-4</v>
      </c>
      <c r="W43" s="51">
        <v>1.9980026626730501E-3</v>
      </c>
      <c r="X43" s="51">
        <v>0</v>
      </c>
      <c r="Y43" s="51">
        <v>3.19999999999999</v>
      </c>
      <c r="Z43" s="51">
        <v>0</v>
      </c>
      <c r="AA43" s="51">
        <v>1E-3</v>
      </c>
      <c r="AB43" s="51">
        <v>0</v>
      </c>
      <c r="AC43" s="51">
        <v>1.4350845252893201</v>
      </c>
      <c r="AD43" s="51">
        <v>0</v>
      </c>
      <c r="AE43" s="51">
        <v>0</v>
      </c>
      <c r="AF43" s="51">
        <v>9.9950033308342299E-4</v>
      </c>
      <c r="AG43" s="51" t="b">
        <f>AND("Zeta" ='Keto-CTA with change &amp;Ln-Values'!$B43)</f>
        <v>0</v>
      </c>
      <c r="AH43" s="51" t="b">
        <f t="shared" si="0"/>
        <v>0</v>
      </c>
    </row>
    <row r="44" spans="1:34" x14ac:dyDescent="0.3">
      <c r="A44" s="51">
        <v>43</v>
      </c>
      <c r="B44" s="52" t="s">
        <v>40</v>
      </c>
      <c r="C44" s="51">
        <v>0</v>
      </c>
      <c r="D44" s="51">
        <v>0</v>
      </c>
      <c r="E44" s="51">
        <v>0</v>
      </c>
      <c r="F44" s="51">
        <v>0</v>
      </c>
      <c r="G44" s="51">
        <v>36.700000000000003</v>
      </c>
      <c r="H44" s="51">
        <v>80.2</v>
      </c>
      <c r="I44" s="51">
        <v>0.6</v>
      </c>
      <c r="J44" s="51">
        <v>0.7</v>
      </c>
      <c r="K44" s="51">
        <v>2.1000000000000001E-2</v>
      </c>
      <c r="L44" s="51">
        <v>4.3999999999999997E-2</v>
      </c>
      <c r="M44" s="51">
        <v>0</v>
      </c>
      <c r="N44" s="51">
        <v>0</v>
      </c>
      <c r="O44" s="51">
        <v>0</v>
      </c>
      <c r="P44" s="51">
        <v>0</v>
      </c>
      <c r="Q44" s="51">
        <v>3.6296600944539601</v>
      </c>
      <c r="R44" s="51">
        <v>4.3969152471676303</v>
      </c>
      <c r="S44" s="51">
        <v>2.1000000000000001E-2</v>
      </c>
      <c r="T44" s="51">
        <v>0.47000362924573502</v>
      </c>
      <c r="U44" s="51">
        <v>0.53062825106217004</v>
      </c>
      <c r="V44" s="51">
        <v>2.0782539182528401E-2</v>
      </c>
      <c r="W44" s="51">
        <v>4.3059489460446999E-2</v>
      </c>
      <c r="X44" s="51">
        <v>0</v>
      </c>
      <c r="Y44" s="51">
        <v>43.5</v>
      </c>
      <c r="Z44" s="51">
        <v>9.9999999999999895E-2</v>
      </c>
      <c r="AA44" s="51">
        <v>2.2999999999999899E-2</v>
      </c>
      <c r="AB44" s="51">
        <v>0</v>
      </c>
      <c r="AC44" s="51">
        <v>3.7954891891721898</v>
      </c>
      <c r="AD44" s="51">
        <v>0</v>
      </c>
      <c r="AE44" s="51">
        <v>9.5310179804324893E-2</v>
      </c>
      <c r="AF44" s="51">
        <v>2.2739486969489301E-2</v>
      </c>
      <c r="AG44" s="51" t="b">
        <f>AND("Zeta" ='Keto-CTA with change &amp;Ln-Values'!$B44)</f>
        <v>0</v>
      </c>
      <c r="AH44" s="51" t="b">
        <f t="shared" si="0"/>
        <v>0</v>
      </c>
    </row>
    <row r="45" spans="1:34" x14ac:dyDescent="0.3">
      <c r="A45" s="51">
        <v>44</v>
      </c>
      <c r="B45" s="52" t="s">
        <v>40</v>
      </c>
      <c r="C45" s="51">
        <v>0</v>
      </c>
      <c r="D45" s="51">
        <v>1</v>
      </c>
      <c r="E45" s="51">
        <v>0</v>
      </c>
      <c r="F45" s="51">
        <v>0</v>
      </c>
      <c r="G45" s="51">
        <v>18.899999999999999</v>
      </c>
      <c r="H45" s="51">
        <v>21.9</v>
      </c>
      <c r="I45" s="51">
        <v>0</v>
      </c>
      <c r="J45" s="51">
        <v>0</v>
      </c>
      <c r="K45" s="51">
        <v>5.0000000000000001E-3</v>
      </c>
      <c r="L45" s="51">
        <v>0.01</v>
      </c>
      <c r="M45" s="51">
        <v>0</v>
      </c>
      <c r="N45" s="51">
        <v>0.69314718055994495</v>
      </c>
      <c r="O45" s="51">
        <v>0</v>
      </c>
      <c r="P45" s="51">
        <v>0</v>
      </c>
      <c r="Q45" s="51">
        <v>2.9907197317304401</v>
      </c>
      <c r="R45" s="51">
        <v>3.1311369105601901</v>
      </c>
      <c r="S45" s="51">
        <v>5.0000000000000001E-3</v>
      </c>
      <c r="T45" s="51">
        <v>0</v>
      </c>
      <c r="U45" s="51">
        <v>0</v>
      </c>
      <c r="V45" s="51">
        <v>4.9875415110389601E-3</v>
      </c>
      <c r="W45" s="51">
        <v>9.9503308531680903E-3</v>
      </c>
      <c r="X45" s="51">
        <v>0</v>
      </c>
      <c r="Y45" s="51">
        <v>3</v>
      </c>
      <c r="Z45" s="51">
        <v>0</v>
      </c>
      <c r="AA45" s="51">
        <v>5.0000000000000001E-3</v>
      </c>
      <c r="AB45" s="51">
        <v>0.69314718055994495</v>
      </c>
      <c r="AC45" s="51">
        <v>1.3862943611198899</v>
      </c>
      <c r="AD45" s="51">
        <v>0</v>
      </c>
      <c r="AE45" s="51">
        <v>0</v>
      </c>
      <c r="AF45" s="51">
        <v>4.9875415110389601E-3</v>
      </c>
      <c r="AG45" s="51" t="b">
        <f>AND("Zeta" ='Keto-CTA with change &amp;Ln-Values'!$B45)</f>
        <v>0</v>
      </c>
      <c r="AH45" s="51" t="b">
        <f t="shared" si="0"/>
        <v>0</v>
      </c>
    </row>
    <row r="46" spans="1:34" x14ac:dyDescent="0.3">
      <c r="A46" s="51">
        <v>45</v>
      </c>
      <c r="B46" s="52" t="s">
        <v>40</v>
      </c>
      <c r="C46" s="51">
        <v>0</v>
      </c>
      <c r="D46" s="51">
        <v>1</v>
      </c>
      <c r="E46" s="51">
        <v>0</v>
      </c>
      <c r="F46" s="51">
        <v>0</v>
      </c>
      <c r="G46" s="51">
        <v>3.8</v>
      </c>
      <c r="H46" s="51">
        <v>4</v>
      </c>
      <c r="I46" s="51">
        <v>0.2</v>
      </c>
      <c r="J46" s="51">
        <v>0.2</v>
      </c>
      <c r="K46" s="51">
        <v>2E-3</v>
      </c>
      <c r="L46" s="51">
        <v>3.0000000000000001E-3</v>
      </c>
      <c r="M46" s="51">
        <v>0</v>
      </c>
      <c r="N46" s="51">
        <v>0.69314718055994495</v>
      </c>
      <c r="O46" s="51">
        <v>0</v>
      </c>
      <c r="P46" s="51">
        <v>0</v>
      </c>
      <c r="Q46" s="51">
        <v>1.5686159179138399</v>
      </c>
      <c r="R46" s="51">
        <v>1.6094379124341001</v>
      </c>
      <c r="S46" s="51">
        <v>2E-3</v>
      </c>
      <c r="T46" s="51">
        <v>0.18232155679395401</v>
      </c>
      <c r="U46" s="51">
        <v>0.18232155679395401</v>
      </c>
      <c r="V46" s="51">
        <v>1.9980026626730501E-3</v>
      </c>
      <c r="W46" s="51">
        <v>2.9955089797983701E-3</v>
      </c>
      <c r="X46" s="51">
        <v>0</v>
      </c>
      <c r="Y46" s="51">
        <v>0.2</v>
      </c>
      <c r="Z46" s="51">
        <v>0</v>
      </c>
      <c r="AA46" s="51">
        <v>1E-3</v>
      </c>
      <c r="AB46" s="51">
        <v>0.69314718055994495</v>
      </c>
      <c r="AC46" s="51">
        <v>0.18232155679395401</v>
      </c>
      <c r="AD46" s="51">
        <v>0</v>
      </c>
      <c r="AE46" s="51">
        <v>0</v>
      </c>
      <c r="AF46" s="51">
        <v>9.9950033308342299E-4</v>
      </c>
      <c r="AG46" s="51" t="b">
        <f>AND("Zeta" ='Keto-CTA with change &amp;Ln-Values'!$B46)</f>
        <v>0</v>
      </c>
      <c r="AH46" s="51" t="b">
        <f t="shared" si="0"/>
        <v>0</v>
      </c>
    </row>
    <row r="47" spans="1:34" x14ac:dyDescent="0.3">
      <c r="A47" s="51">
        <v>46</v>
      </c>
      <c r="B47" s="52" t="s">
        <v>40</v>
      </c>
      <c r="C47" s="51">
        <v>0</v>
      </c>
      <c r="D47" s="51">
        <v>1</v>
      </c>
      <c r="E47" s="51">
        <v>0</v>
      </c>
      <c r="F47" s="51">
        <v>0</v>
      </c>
      <c r="G47" s="51">
        <v>20</v>
      </c>
      <c r="H47" s="51">
        <v>32.799999999999997</v>
      </c>
      <c r="I47" s="51">
        <v>0</v>
      </c>
      <c r="J47" s="51">
        <v>0</v>
      </c>
      <c r="K47" s="51">
        <v>6.0000000000000001E-3</v>
      </c>
      <c r="L47" s="51">
        <v>0.01</v>
      </c>
      <c r="M47" s="51">
        <v>0</v>
      </c>
      <c r="N47" s="51">
        <v>0.69314718055994495</v>
      </c>
      <c r="O47" s="51">
        <v>0</v>
      </c>
      <c r="P47" s="51">
        <v>0</v>
      </c>
      <c r="Q47" s="51">
        <v>3.0445224377234199</v>
      </c>
      <c r="R47" s="51">
        <v>3.5204608024889699</v>
      </c>
      <c r="S47" s="51">
        <v>6.0000000000000001E-3</v>
      </c>
      <c r="T47" s="51">
        <v>0</v>
      </c>
      <c r="U47" s="51">
        <v>0</v>
      </c>
      <c r="V47" s="51">
        <v>5.9820716775474602E-3</v>
      </c>
      <c r="W47" s="51">
        <v>9.9503308531680903E-3</v>
      </c>
      <c r="X47" s="51">
        <v>0</v>
      </c>
      <c r="Y47" s="51">
        <v>12.799999999999899</v>
      </c>
      <c r="Z47" s="51">
        <v>0</v>
      </c>
      <c r="AA47" s="51">
        <v>4.0000000000000001E-3</v>
      </c>
      <c r="AB47" s="51">
        <v>0.69314718055994495</v>
      </c>
      <c r="AC47" s="51">
        <v>2.6246685921631498</v>
      </c>
      <c r="AD47" s="51">
        <v>0</v>
      </c>
      <c r="AE47" s="51">
        <v>0</v>
      </c>
      <c r="AF47" s="51">
        <v>3.9920212695374498E-3</v>
      </c>
      <c r="AG47" s="51" t="b">
        <f>AND("Zeta" ='Keto-CTA with change &amp;Ln-Values'!$B47)</f>
        <v>0</v>
      </c>
      <c r="AH47" s="51" t="b">
        <f t="shared" si="0"/>
        <v>0</v>
      </c>
    </row>
    <row r="48" spans="1:34" x14ac:dyDescent="0.3">
      <c r="A48" s="51">
        <v>47</v>
      </c>
      <c r="B48" s="52" t="s">
        <v>40</v>
      </c>
      <c r="C48" s="51">
        <v>0</v>
      </c>
      <c r="D48" s="51">
        <v>1</v>
      </c>
      <c r="E48" s="51">
        <v>0</v>
      </c>
      <c r="F48" s="51">
        <v>0</v>
      </c>
      <c r="G48" s="51">
        <v>61.8</v>
      </c>
      <c r="H48" s="51">
        <v>98.3</v>
      </c>
      <c r="I48" s="51">
        <v>0</v>
      </c>
      <c r="J48" s="51">
        <v>0.1</v>
      </c>
      <c r="K48" s="51">
        <v>1.6E-2</v>
      </c>
      <c r="L48" s="51">
        <v>2.4E-2</v>
      </c>
      <c r="M48" s="51">
        <v>0</v>
      </c>
      <c r="N48" s="51">
        <v>0.69314718055994495</v>
      </c>
      <c r="O48" s="51">
        <v>0</v>
      </c>
      <c r="P48" s="51">
        <v>0</v>
      </c>
      <c r="Q48" s="51">
        <v>4.1399550734741499</v>
      </c>
      <c r="R48" s="51">
        <v>4.5981455710511199</v>
      </c>
      <c r="S48" s="51">
        <v>1.6E-2</v>
      </c>
      <c r="T48" s="51">
        <v>0</v>
      </c>
      <c r="U48" s="51">
        <v>9.5310179804324893E-2</v>
      </c>
      <c r="V48" s="51">
        <v>1.5873349156290101E-2</v>
      </c>
      <c r="W48" s="51">
        <v>2.3716526617315999E-2</v>
      </c>
      <c r="X48" s="51">
        <v>0</v>
      </c>
      <c r="Y48" s="51">
        <v>36.5</v>
      </c>
      <c r="Z48" s="51">
        <v>0.1</v>
      </c>
      <c r="AA48" s="51">
        <v>8.0000000000000002E-3</v>
      </c>
      <c r="AB48" s="51">
        <v>0.69314718055994495</v>
      </c>
      <c r="AC48" s="51">
        <v>3.6243409329763598</v>
      </c>
      <c r="AD48" s="51">
        <v>0</v>
      </c>
      <c r="AE48" s="51">
        <v>9.5310179804324893E-2</v>
      </c>
      <c r="AF48" s="51">
        <v>7.9681696491768796E-3</v>
      </c>
      <c r="AG48" s="51" t="b">
        <f>AND("Zeta" ='Keto-CTA with change &amp;Ln-Values'!$B48)</f>
        <v>0</v>
      </c>
      <c r="AH48" s="51" t="b">
        <f t="shared" si="0"/>
        <v>0</v>
      </c>
    </row>
    <row r="49" spans="1:34" x14ac:dyDescent="0.3">
      <c r="A49" s="51">
        <v>55</v>
      </c>
      <c r="B49" s="52" t="s">
        <v>39</v>
      </c>
      <c r="C49" s="51">
        <v>1</v>
      </c>
      <c r="D49" s="51">
        <v>0</v>
      </c>
      <c r="E49" s="51">
        <v>0</v>
      </c>
      <c r="F49" s="51">
        <v>0</v>
      </c>
      <c r="G49" s="51">
        <v>68.2</v>
      </c>
      <c r="H49" s="51">
        <v>71.400000000000006</v>
      </c>
      <c r="I49" s="51">
        <v>0</v>
      </c>
      <c r="J49" s="51">
        <v>0</v>
      </c>
      <c r="K49" s="51">
        <v>2.3E-2</v>
      </c>
      <c r="L49" s="51">
        <v>3.1E-2</v>
      </c>
      <c r="M49" s="51">
        <v>0.69314718055994495</v>
      </c>
      <c r="N49" s="51">
        <v>0</v>
      </c>
      <c r="O49" s="51">
        <v>0</v>
      </c>
      <c r="P49" s="51">
        <v>0</v>
      </c>
      <c r="Q49" s="51">
        <v>4.2370008626236197</v>
      </c>
      <c r="R49" s="51">
        <v>4.2822062993916701</v>
      </c>
      <c r="S49" s="51">
        <v>2.3E-2</v>
      </c>
      <c r="T49" s="51">
        <v>0</v>
      </c>
      <c r="U49" s="51">
        <v>0</v>
      </c>
      <c r="V49" s="51">
        <v>2.2739486969489301E-2</v>
      </c>
      <c r="W49" s="51" t="s">
        <v>94</v>
      </c>
      <c r="X49" s="51">
        <v>0</v>
      </c>
      <c r="Y49" s="51">
        <v>3.2</v>
      </c>
      <c r="Z49" s="51">
        <v>0</v>
      </c>
      <c r="AA49" s="51">
        <v>8.0000000000000002E-3</v>
      </c>
      <c r="AB49" s="51">
        <v>0.69314718055994495</v>
      </c>
      <c r="AC49" s="51">
        <v>1.4350845252893201</v>
      </c>
      <c r="AD49" s="51">
        <v>0</v>
      </c>
      <c r="AE49" s="51">
        <v>0</v>
      </c>
      <c r="AF49" s="51">
        <v>7.9681696491768796E-3</v>
      </c>
      <c r="AG49" s="51" t="b">
        <f>AND("Zeta" ='Keto-CTA with change &amp;Ln-Values'!$B56)</f>
        <v>1</v>
      </c>
      <c r="AH49" s="51" t="b">
        <f t="shared" si="0"/>
        <v>0</v>
      </c>
    </row>
    <row r="50" spans="1:34" x14ac:dyDescent="0.3">
      <c r="A50" s="51">
        <v>56</v>
      </c>
      <c r="B50" s="52" t="s">
        <v>39</v>
      </c>
      <c r="C50" s="51">
        <v>1</v>
      </c>
      <c r="D50" s="51">
        <v>0</v>
      </c>
      <c r="E50" s="51">
        <v>0</v>
      </c>
      <c r="F50" s="51">
        <v>0</v>
      </c>
      <c r="G50" s="51">
        <v>15.5</v>
      </c>
      <c r="H50" s="51">
        <v>31</v>
      </c>
      <c r="I50" s="51">
        <v>0</v>
      </c>
      <c r="J50" s="51">
        <v>0</v>
      </c>
      <c r="K50" s="51">
        <v>6.0000000000000001E-3</v>
      </c>
      <c r="L50" s="51">
        <v>1.2E-2</v>
      </c>
      <c r="M50" s="51">
        <v>0.69314718055994495</v>
      </c>
      <c r="N50" s="51">
        <v>0</v>
      </c>
      <c r="O50" s="51">
        <v>0</v>
      </c>
      <c r="P50" s="51">
        <v>0</v>
      </c>
      <c r="Q50" s="51">
        <v>2.8033603809065299</v>
      </c>
      <c r="R50" s="51">
        <v>3.4657359027997199</v>
      </c>
      <c r="S50" s="51">
        <v>6.0000000000000001E-3</v>
      </c>
      <c r="T50" s="51">
        <v>0</v>
      </c>
      <c r="U50" s="51">
        <v>0</v>
      </c>
      <c r="V50" s="51">
        <v>5.9820716775474602E-3</v>
      </c>
      <c r="W50" s="51" t="s">
        <v>95</v>
      </c>
      <c r="X50" s="51">
        <v>0</v>
      </c>
      <c r="Y50" s="51">
        <v>15.5</v>
      </c>
      <c r="Z50" s="51">
        <v>0</v>
      </c>
      <c r="AA50" s="51">
        <v>6.0000000000000001E-3</v>
      </c>
      <c r="AB50" s="51">
        <v>0.69314718055994495</v>
      </c>
      <c r="AC50" s="51">
        <v>2.8033603809065299</v>
      </c>
      <c r="AD50" s="51">
        <v>0</v>
      </c>
      <c r="AE50" s="51">
        <v>0</v>
      </c>
      <c r="AF50" s="51">
        <v>5.9820716775474602E-3</v>
      </c>
      <c r="AG50" s="51" t="b">
        <f>AND("Zeta" ='Keto-CTA with change &amp;Ln-Values'!$B57)</f>
        <v>1</v>
      </c>
      <c r="AH50" s="51" t="b">
        <f t="shared" si="0"/>
        <v>0</v>
      </c>
    </row>
    <row r="51" spans="1:34" x14ac:dyDescent="0.3">
      <c r="A51" s="51">
        <v>48</v>
      </c>
      <c r="B51" s="52" t="s">
        <v>40</v>
      </c>
      <c r="C51" s="51">
        <v>0</v>
      </c>
      <c r="D51" s="51">
        <v>1</v>
      </c>
      <c r="E51" s="51">
        <v>0</v>
      </c>
      <c r="F51" s="51">
        <v>0</v>
      </c>
      <c r="G51" s="51">
        <v>26.6</v>
      </c>
      <c r="H51" s="51">
        <v>104</v>
      </c>
      <c r="I51" s="51">
        <v>0</v>
      </c>
      <c r="J51" s="51">
        <v>0.1</v>
      </c>
      <c r="K51" s="51">
        <v>1.0999999999999999E-2</v>
      </c>
      <c r="L51" s="51">
        <v>5.1999999999999998E-2</v>
      </c>
      <c r="M51" s="51">
        <v>0</v>
      </c>
      <c r="N51" s="51">
        <v>0.69314718055994495</v>
      </c>
      <c r="O51" s="51">
        <v>0</v>
      </c>
      <c r="P51" s="51">
        <v>0</v>
      </c>
      <c r="Q51" s="51">
        <v>3.3178157727231001</v>
      </c>
      <c r="R51" s="51">
        <v>4.6539603501575204</v>
      </c>
      <c r="S51" s="51">
        <v>1.0999999999999999E-2</v>
      </c>
      <c r="T51" s="51">
        <v>0</v>
      </c>
      <c r="U51" s="51">
        <v>9.5310179804324893E-2</v>
      </c>
      <c r="V51" s="51">
        <v>1.0939940038334201E-2</v>
      </c>
      <c r="W51" s="51">
        <v>5.0693114315518102E-2</v>
      </c>
      <c r="X51" s="51">
        <v>0</v>
      </c>
      <c r="Y51" s="51">
        <v>77.400000000000006</v>
      </c>
      <c r="Z51" s="51">
        <v>0.1</v>
      </c>
      <c r="AA51" s="51">
        <v>4.0999999999999898E-2</v>
      </c>
      <c r="AB51" s="51">
        <v>0.69314718055994495</v>
      </c>
      <c r="AC51" s="51">
        <v>4.3618239273563599</v>
      </c>
      <c r="AD51" s="51">
        <v>0</v>
      </c>
      <c r="AE51" s="51">
        <v>9.5310179804324893E-2</v>
      </c>
      <c r="AF51" s="51">
        <v>4.0181789632831699E-2</v>
      </c>
      <c r="AG51" s="51" t="b">
        <f>AND("Zeta" ='Keto-CTA with change &amp;Ln-Values'!$B49)</f>
        <v>1</v>
      </c>
      <c r="AH51" s="51" t="b">
        <f t="shared" si="0"/>
        <v>0</v>
      </c>
    </row>
    <row r="52" spans="1:34" x14ac:dyDescent="0.3">
      <c r="A52" s="51">
        <v>17</v>
      </c>
      <c r="B52" s="52" t="s">
        <v>41</v>
      </c>
      <c r="C52" s="51">
        <v>0</v>
      </c>
      <c r="D52" s="51">
        <v>0</v>
      </c>
      <c r="E52" s="51">
        <v>0</v>
      </c>
      <c r="F52" s="51">
        <v>1</v>
      </c>
      <c r="G52" s="51">
        <v>6.3</v>
      </c>
      <c r="H52" s="51">
        <v>19.8</v>
      </c>
      <c r="I52" s="51">
        <v>1</v>
      </c>
      <c r="J52" s="51">
        <v>3.4</v>
      </c>
      <c r="K52" s="51">
        <v>3.0000000000000001E-3</v>
      </c>
      <c r="L52" s="51">
        <v>8.9999999999999993E-3</v>
      </c>
      <c r="M52" s="51">
        <v>0</v>
      </c>
      <c r="N52" s="51">
        <v>0</v>
      </c>
      <c r="O52" s="51">
        <v>0</v>
      </c>
      <c r="P52" s="51">
        <v>0.69314718055994495</v>
      </c>
      <c r="Q52" s="51">
        <v>1.9878743481543399</v>
      </c>
      <c r="R52" s="51">
        <v>3.0349529867072702</v>
      </c>
      <c r="S52" s="51">
        <v>3.0000000000000001E-3</v>
      </c>
      <c r="T52" s="51">
        <v>0.69314718055994495</v>
      </c>
      <c r="U52" s="51">
        <v>1.48160454092421</v>
      </c>
      <c r="V52" s="51">
        <v>2.9955089797983701E-3</v>
      </c>
      <c r="W52" s="51">
        <v>8.9597413714717997E-3</v>
      </c>
      <c r="X52" s="51">
        <v>1</v>
      </c>
      <c r="Y52" s="51">
        <v>13.5</v>
      </c>
      <c r="Z52" s="51">
        <v>2.4</v>
      </c>
      <c r="AA52" s="51">
        <v>5.9999999999999897E-3</v>
      </c>
      <c r="AB52" s="51">
        <v>0</v>
      </c>
      <c r="AC52" s="51">
        <v>2.6741486494265199</v>
      </c>
      <c r="AD52" s="51">
        <v>0.69314718055994495</v>
      </c>
      <c r="AE52" s="51">
        <v>1.2237754316221101</v>
      </c>
      <c r="AF52" s="51">
        <v>5.9820716775474602E-3</v>
      </c>
      <c r="AG52" s="51" t="b">
        <f>AND("Zeta" ='Keto-CTA with change &amp;Ln-Values'!$B18)</f>
        <v>0</v>
      </c>
      <c r="AH52" s="51" t="b">
        <f t="shared" si="0"/>
        <v>1</v>
      </c>
    </row>
    <row r="53" spans="1:34" x14ac:dyDescent="0.3">
      <c r="A53" s="51">
        <v>50</v>
      </c>
      <c r="B53" s="52" t="s">
        <v>41</v>
      </c>
      <c r="C53" s="51">
        <v>0</v>
      </c>
      <c r="D53" s="51">
        <v>1</v>
      </c>
      <c r="E53" s="51">
        <v>0</v>
      </c>
      <c r="F53" s="51">
        <v>1</v>
      </c>
      <c r="G53" s="51">
        <v>26.3</v>
      </c>
      <c r="H53" s="51">
        <v>60.7</v>
      </c>
      <c r="I53" s="51">
        <v>1.1000000000000001</v>
      </c>
      <c r="J53" s="51">
        <v>2</v>
      </c>
      <c r="K53" s="51">
        <v>8.9999999999999993E-3</v>
      </c>
      <c r="L53" s="51">
        <v>2.1000000000000001E-2</v>
      </c>
      <c r="M53" s="51">
        <v>0</v>
      </c>
      <c r="N53" s="51">
        <v>0.69314718055994495</v>
      </c>
      <c r="O53" s="51">
        <v>0</v>
      </c>
      <c r="P53" s="51">
        <v>0.69314718055994495</v>
      </c>
      <c r="Q53" s="51">
        <v>3.3068867021909099</v>
      </c>
      <c r="R53" s="51">
        <v>4.1222839309113404</v>
      </c>
      <c r="S53" s="51">
        <v>8.9999999999999993E-3</v>
      </c>
      <c r="T53" s="51">
        <v>0.741937344729377</v>
      </c>
      <c r="U53" s="51">
        <v>1.0986122886681</v>
      </c>
      <c r="V53" s="51">
        <v>8.9597413714717997E-3</v>
      </c>
      <c r="W53" s="51">
        <v>2.0782539182528401E-2</v>
      </c>
      <c r="X53" s="51">
        <v>1</v>
      </c>
      <c r="Y53" s="51">
        <v>34.4</v>
      </c>
      <c r="Z53" s="51">
        <v>0.89999999999999902</v>
      </c>
      <c r="AA53" s="51">
        <v>1.2E-2</v>
      </c>
      <c r="AB53" s="51">
        <v>0.69314718055994495</v>
      </c>
      <c r="AC53" s="51">
        <v>3.5667118201397199</v>
      </c>
      <c r="AD53" s="51">
        <v>0.69314718055994495</v>
      </c>
      <c r="AE53" s="51">
        <v>0.64185388617239403</v>
      </c>
      <c r="AF53" s="51">
        <v>1.19285708652738E-2</v>
      </c>
      <c r="AG53" s="51" t="b">
        <f>AND("Zeta" ='Keto-CTA with change &amp;Ln-Values'!$B51)</f>
        <v>0</v>
      </c>
      <c r="AH53" s="51" t="b">
        <f t="shared" si="0"/>
        <v>1</v>
      </c>
    </row>
    <row r="54" spans="1:34" x14ac:dyDescent="0.3">
      <c r="A54" s="51">
        <v>57</v>
      </c>
      <c r="B54" s="52" t="s">
        <v>41</v>
      </c>
      <c r="C54" s="51">
        <v>1</v>
      </c>
      <c r="D54" s="51">
        <v>1</v>
      </c>
      <c r="E54" s="51">
        <v>4</v>
      </c>
      <c r="F54" s="51">
        <v>6</v>
      </c>
      <c r="G54" s="51">
        <v>94.7</v>
      </c>
      <c r="H54" s="51">
        <v>130.80000000000001</v>
      </c>
      <c r="I54" s="51">
        <v>2.8</v>
      </c>
      <c r="J54" s="51">
        <v>3.1</v>
      </c>
      <c r="K54" s="51">
        <v>3.1E-2</v>
      </c>
      <c r="L54" s="51">
        <v>3.7999999999999999E-2</v>
      </c>
      <c r="M54" s="51">
        <v>0.69314718055994495</v>
      </c>
      <c r="N54" s="51">
        <v>0.69314718055994495</v>
      </c>
      <c r="O54" s="51">
        <v>1.6094379124341001</v>
      </c>
      <c r="P54" s="51">
        <v>1.9459101490553099</v>
      </c>
      <c r="Q54" s="51">
        <v>4.5612182984588996</v>
      </c>
      <c r="R54" s="51">
        <v>4.8812856220684004</v>
      </c>
      <c r="S54" s="51">
        <v>3.1E-2</v>
      </c>
      <c r="T54" s="51">
        <v>1.33500106673234</v>
      </c>
      <c r="U54" s="51">
        <v>1.4109869737102601</v>
      </c>
      <c r="V54" s="51">
        <v>3.0529205034822701E-2</v>
      </c>
      <c r="W54" s="51">
        <v>3.7295784743696901E-2</v>
      </c>
      <c r="X54" s="51">
        <v>2</v>
      </c>
      <c r="Y54" s="51">
        <v>36.1</v>
      </c>
      <c r="Z54" s="51">
        <v>0.3</v>
      </c>
      <c r="AA54" s="51">
        <v>6.9999999999999897E-3</v>
      </c>
      <c r="AB54" s="51">
        <v>0</v>
      </c>
      <c r="AC54" s="51">
        <v>3.6136169696133802</v>
      </c>
      <c r="AD54" s="51">
        <v>1.0986122886681</v>
      </c>
      <c r="AE54" s="51">
        <v>0.262364264467491</v>
      </c>
      <c r="AF54" s="51">
        <v>6.9756137364251304E-3</v>
      </c>
      <c r="AG54" s="51" t="b">
        <f>AND("Zeta" ='Keto-CTA with change &amp;Ln-Values'!$B58)</f>
        <v>1</v>
      </c>
      <c r="AH54" s="51" t="b">
        <f t="shared" si="0"/>
        <v>1</v>
      </c>
    </row>
    <row r="55" spans="1:34" x14ac:dyDescent="0.3">
      <c r="A55" s="51">
        <v>49</v>
      </c>
      <c r="B55" s="52" t="s">
        <v>41</v>
      </c>
      <c r="C55" s="51">
        <v>0</v>
      </c>
      <c r="D55" s="51">
        <v>1</v>
      </c>
      <c r="E55" s="51">
        <v>0</v>
      </c>
      <c r="F55" s="51">
        <v>2</v>
      </c>
      <c r="G55" s="51">
        <v>39.700000000000003</v>
      </c>
      <c r="H55" s="51">
        <v>57</v>
      </c>
      <c r="I55" s="51">
        <v>1.4</v>
      </c>
      <c r="J55" s="51">
        <v>4.4000000000000004</v>
      </c>
      <c r="K55" s="51">
        <v>1.4999999999999999E-2</v>
      </c>
      <c r="L55" s="51">
        <v>2.3E-2</v>
      </c>
      <c r="M55" s="51">
        <v>0</v>
      </c>
      <c r="N55" s="51">
        <v>0.69314718055994495</v>
      </c>
      <c r="O55" s="51">
        <v>0</v>
      </c>
      <c r="P55" s="51">
        <v>1.0986122886681</v>
      </c>
      <c r="Q55" s="51">
        <v>3.7062280924485398</v>
      </c>
      <c r="R55" s="51">
        <v>4.0604430105464102</v>
      </c>
      <c r="S55" s="51">
        <v>1.4999999999999999E-2</v>
      </c>
      <c r="T55" s="51">
        <v>0.87546873735389896</v>
      </c>
      <c r="U55" s="51">
        <v>1.68639895357022</v>
      </c>
      <c r="V55" s="51">
        <v>1.48886124937505E-2</v>
      </c>
      <c r="W55" s="51">
        <v>2.2739486969489301E-2</v>
      </c>
      <c r="X55" s="51">
        <v>2</v>
      </c>
      <c r="Y55" s="51">
        <v>17.299999999999901</v>
      </c>
      <c r="Z55" s="51">
        <v>3</v>
      </c>
      <c r="AA55" s="51">
        <v>8.0000000000000002E-3</v>
      </c>
      <c r="AB55" s="51">
        <v>0.69314718055994495</v>
      </c>
      <c r="AC55" s="51">
        <v>2.9069010598473701</v>
      </c>
      <c r="AD55" s="51">
        <v>1.0986122886681</v>
      </c>
      <c r="AE55" s="51">
        <v>1.3862943611198899</v>
      </c>
      <c r="AF55" s="51">
        <v>7.9681696491768796E-3</v>
      </c>
      <c r="AG55" s="51" t="b">
        <f>AND("Zeta" ='Keto-CTA with change &amp;Ln-Values'!$B50)</f>
        <v>1</v>
      </c>
      <c r="AH55" s="51" t="b">
        <f t="shared" si="0"/>
        <v>1</v>
      </c>
    </row>
    <row r="56" spans="1:34" x14ac:dyDescent="0.3">
      <c r="A56" s="51">
        <v>66</v>
      </c>
      <c r="B56" s="52" t="s">
        <v>39</v>
      </c>
      <c r="C56" s="51">
        <v>1</v>
      </c>
      <c r="D56" s="51">
        <v>2</v>
      </c>
      <c r="E56" s="51">
        <v>58</v>
      </c>
      <c r="F56" s="51">
        <v>39</v>
      </c>
      <c r="G56" s="51">
        <v>91.1</v>
      </c>
      <c r="H56" s="51">
        <v>119.7</v>
      </c>
      <c r="I56" s="51">
        <v>21.8</v>
      </c>
      <c r="J56" s="51">
        <v>22.9</v>
      </c>
      <c r="K56" s="51">
        <v>3.1E-2</v>
      </c>
      <c r="L56" s="51">
        <v>0.04</v>
      </c>
      <c r="M56" s="51">
        <v>0.69314718055994495</v>
      </c>
      <c r="N56" s="51">
        <v>1.0986122886681</v>
      </c>
      <c r="O56" s="51">
        <v>4.0775374439057197</v>
      </c>
      <c r="P56" s="51">
        <v>3.68887945411393</v>
      </c>
      <c r="Q56" s="51">
        <v>4.5228749432612601</v>
      </c>
      <c r="R56" s="51">
        <v>4.7933081281034804</v>
      </c>
      <c r="S56" s="51">
        <v>3.1E-2</v>
      </c>
      <c r="T56" s="51">
        <v>3.1267605359603898</v>
      </c>
      <c r="U56" s="51">
        <v>3.1738784589374598</v>
      </c>
      <c r="V56" s="51">
        <v>3.0529205034822701E-2</v>
      </c>
      <c r="W56" s="51">
        <v>3.9220713153281302E-2</v>
      </c>
      <c r="X56" s="51">
        <v>-19</v>
      </c>
      <c r="Y56" s="51">
        <v>28.6</v>
      </c>
      <c r="Z56" s="51">
        <v>1.0999999999999901</v>
      </c>
      <c r="AA56" s="51">
        <v>8.9999999999999993E-3</v>
      </c>
      <c r="AB56" s="51">
        <v>0.69314718055994495</v>
      </c>
      <c r="AC56" s="51">
        <v>3.3877743613300102</v>
      </c>
      <c r="AD56" s="51">
        <v>2.99573227355399</v>
      </c>
      <c r="AE56" s="51">
        <v>0.741937344729376</v>
      </c>
      <c r="AF56" s="51">
        <v>8.9597413714717997E-3</v>
      </c>
      <c r="AG56" s="51" t="b">
        <f>AND("Zeta" ='Keto-CTA with change &amp;Ln-Values'!$B67)</f>
        <v>0</v>
      </c>
      <c r="AH56" s="51" t="b">
        <f t="shared" si="0"/>
        <v>1</v>
      </c>
    </row>
    <row r="57" spans="1:34" x14ac:dyDescent="0.3">
      <c r="A57" s="51">
        <v>77</v>
      </c>
      <c r="B57" s="52" t="s">
        <v>39</v>
      </c>
      <c r="C57" s="51">
        <v>3</v>
      </c>
      <c r="D57" s="51">
        <v>3</v>
      </c>
      <c r="E57" s="51">
        <v>360</v>
      </c>
      <c r="F57" s="51">
        <v>353</v>
      </c>
      <c r="G57" s="51">
        <v>174.6</v>
      </c>
      <c r="H57" s="51">
        <v>210</v>
      </c>
      <c r="I57" s="51">
        <v>128.6</v>
      </c>
      <c r="J57" s="51">
        <v>140.69999999999999</v>
      </c>
      <c r="K57" s="51">
        <v>0.113</v>
      </c>
      <c r="L57" s="51">
        <v>0.121</v>
      </c>
      <c r="M57" s="51">
        <v>1.3862943611198899</v>
      </c>
      <c r="N57" s="51">
        <v>1.3862943611198899</v>
      </c>
      <c r="O57" s="51">
        <v>5.8888779583328796</v>
      </c>
      <c r="P57" s="51">
        <v>5.8692969131337698</v>
      </c>
      <c r="Q57" s="51">
        <v>5.1682086812010102</v>
      </c>
      <c r="R57" s="51">
        <v>5.3518581334760604</v>
      </c>
      <c r="S57" s="51">
        <v>0.113</v>
      </c>
      <c r="T57" s="51">
        <v>4.8644527839181704</v>
      </c>
      <c r="U57" s="51">
        <v>4.9537121466966303</v>
      </c>
      <c r="V57" s="51">
        <v>0.107059072293407</v>
      </c>
      <c r="W57" s="51">
        <v>0.114221144090022</v>
      </c>
      <c r="X57" s="51">
        <v>-7</v>
      </c>
      <c r="Y57" s="51">
        <v>35.4</v>
      </c>
      <c r="Z57" s="51">
        <v>12.0999999999999</v>
      </c>
      <c r="AA57" s="51">
        <v>7.9999999999999898E-3</v>
      </c>
      <c r="AB57" s="51">
        <v>0</v>
      </c>
      <c r="AC57" s="51">
        <v>3.5945687746426902</v>
      </c>
      <c r="AD57" s="51">
        <v>2.07944154167983</v>
      </c>
      <c r="AE57" s="51">
        <v>2.5726122302070999</v>
      </c>
      <c r="AF57" s="51">
        <v>7.9681696491768796E-3</v>
      </c>
      <c r="AG57" s="51" t="b">
        <f>AND("Zeta" ='Keto-CTA with change &amp;Ln-Values'!$B78)</f>
        <v>0</v>
      </c>
      <c r="AH57" s="51" t="b">
        <f t="shared" si="0"/>
        <v>1</v>
      </c>
    </row>
    <row r="58" spans="1:34" x14ac:dyDescent="0.3">
      <c r="A58" s="51">
        <v>63</v>
      </c>
      <c r="B58" s="52" t="s">
        <v>39</v>
      </c>
      <c r="C58" s="51">
        <v>1</v>
      </c>
      <c r="D58" s="51">
        <v>2</v>
      </c>
      <c r="E58" s="51">
        <v>68</v>
      </c>
      <c r="F58" s="51">
        <v>62</v>
      </c>
      <c r="G58" s="51">
        <v>77.3</v>
      </c>
      <c r="H58" s="51">
        <v>96.1</v>
      </c>
      <c r="I58" s="51">
        <v>25.8</v>
      </c>
      <c r="J58" s="51">
        <v>29.1</v>
      </c>
      <c r="K58" s="51">
        <v>4.9000000000000002E-2</v>
      </c>
      <c r="L58" s="51">
        <v>4.8000000000000001E-2</v>
      </c>
      <c r="M58" s="51">
        <v>0.69314718055994495</v>
      </c>
      <c r="N58" s="51">
        <v>1.0986122886681</v>
      </c>
      <c r="O58" s="51">
        <v>4.2341065045972597</v>
      </c>
      <c r="P58" s="51">
        <v>4.1431347263915299</v>
      </c>
      <c r="Q58" s="51">
        <v>4.3605476029967498</v>
      </c>
      <c r="R58" s="51">
        <v>4.5757413752972704</v>
      </c>
      <c r="S58" s="51">
        <v>4.9000000000000002E-2</v>
      </c>
      <c r="T58" s="51">
        <v>3.2884018875168102</v>
      </c>
      <c r="U58" s="51">
        <v>3.4045251717548299</v>
      </c>
      <c r="V58" s="51">
        <v>4.7837329414160003E-2</v>
      </c>
      <c r="W58" s="51">
        <v>4.6883585898850402E-2</v>
      </c>
      <c r="X58" s="51">
        <v>-6</v>
      </c>
      <c r="Y58" s="51">
        <v>18.799999999999901</v>
      </c>
      <c r="Z58" s="51">
        <v>3.3</v>
      </c>
      <c r="AA58" s="51">
        <v>-1E-3</v>
      </c>
      <c r="AB58" s="51">
        <v>0.69314718055994495</v>
      </c>
      <c r="AC58" s="51">
        <v>2.98568193770048</v>
      </c>
      <c r="AD58" s="51">
        <v>1.9459101490553099</v>
      </c>
      <c r="AE58" s="51">
        <v>1.45861502269951</v>
      </c>
      <c r="AF58" s="51">
        <v>9.9950033308342299E-4</v>
      </c>
      <c r="AG58" s="51" t="b">
        <f>AND("Zeta" ='Keto-CTA with change &amp;Ln-Values'!$B64)</f>
        <v>0</v>
      </c>
      <c r="AH58" s="51" t="b">
        <f t="shared" si="0"/>
        <v>1</v>
      </c>
    </row>
    <row r="59" spans="1:34" x14ac:dyDescent="0.3">
      <c r="A59" s="51">
        <v>54</v>
      </c>
      <c r="B59" s="52" t="s">
        <v>39</v>
      </c>
      <c r="C59" s="51">
        <v>1</v>
      </c>
      <c r="D59" s="51">
        <v>0</v>
      </c>
      <c r="E59" s="51">
        <v>2</v>
      </c>
      <c r="F59" s="51">
        <v>0</v>
      </c>
      <c r="G59" s="51">
        <v>64.900000000000006</v>
      </c>
      <c r="H59" s="51">
        <v>68.5</v>
      </c>
      <c r="I59" s="51">
        <v>0.2</v>
      </c>
      <c r="J59" s="51">
        <v>0.6</v>
      </c>
      <c r="K59" s="51">
        <v>1.6E-2</v>
      </c>
      <c r="L59" s="51">
        <v>2.5999999999999999E-2</v>
      </c>
      <c r="M59" s="51">
        <v>0.69314718055994495</v>
      </c>
      <c r="N59" s="51">
        <v>0</v>
      </c>
      <c r="O59" s="51">
        <v>1.0986122886681</v>
      </c>
      <c r="P59" s="51">
        <v>0</v>
      </c>
      <c r="Q59" s="51">
        <v>4.1881384415084604</v>
      </c>
      <c r="R59" s="51">
        <v>4.2413267525707399</v>
      </c>
      <c r="S59" s="51">
        <v>1.6E-2</v>
      </c>
      <c r="T59" s="51">
        <v>0.18232155679395401</v>
      </c>
      <c r="U59" s="51">
        <v>0.47000362924573502</v>
      </c>
      <c r="V59" s="51">
        <v>1.5873349156290101E-2</v>
      </c>
      <c r="W59" s="51" t="s">
        <v>93</v>
      </c>
      <c r="X59" s="51">
        <v>-2</v>
      </c>
      <c r="Y59" s="51">
        <v>3.5999999999999899</v>
      </c>
      <c r="Z59" s="51">
        <v>0.39999999999999902</v>
      </c>
      <c r="AA59" s="51">
        <v>9.9999999999999898E-3</v>
      </c>
      <c r="AB59" s="51">
        <v>0.69314718055994495</v>
      </c>
      <c r="AC59" s="51">
        <v>1.5260563034950401</v>
      </c>
      <c r="AD59" s="51">
        <v>1.0986122886681</v>
      </c>
      <c r="AE59" s="51">
        <v>0.33647223662121201</v>
      </c>
      <c r="AF59" s="51">
        <v>9.9503308531680903E-3</v>
      </c>
      <c r="AG59" s="51" t="b">
        <f>AND("Zeta" ='Keto-CTA with change &amp;Ln-Values'!$B55)</f>
        <v>0</v>
      </c>
      <c r="AH59" s="51" t="b">
        <f t="shared" si="0"/>
        <v>1</v>
      </c>
    </row>
    <row r="60" spans="1:34" x14ac:dyDescent="0.3">
      <c r="A60" s="51">
        <v>65</v>
      </c>
      <c r="B60" s="52" t="s">
        <v>39</v>
      </c>
      <c r="C60" s="51">
        <v>1</v>
      </c>
      <c r="D60" s="51">
        <v>2</v>
      </c>
      <c r="E60" s="51">
        <v>1</v>
      </c>
      <c r="F60" s="51">
        <v>0</v>
      </c>
      <c r="G60" s="51">
        <v>113.6</v>
      </c>
      <c r="H60" s="51">
        <v>162</v>
      </c>
      <c r="I60" s="51">
        <v>0</v>
      </c>
      <c r="J60" s="51">
        <v>0</v>
      </c>
      <c r="K60" s="51">
        <v>3.1E-2</v>
      </c>
      <c r="L60" s="51">
        <v>4.5999999999999999E-2</v>
      </c>
      <c r="M60" s="51">
        <v>0.69314718055994495</v>
      </c>
      <c r="N60" s="51">
        <v>1.0986122886681</v>
      </c>
      <c r="O60" s="51">
        <v>0.69314718055994495</v>
      </c>
      <c r="P60" s="51">
        <v>0</v>
      </c>
      <c r="Q60" s="51">
        <v>4.7414478042806296</v>
      </c>
      <c r="R60" s="51">
        <v>5.0937502008067597</v>
      </c>
      <c r="S60" s="51">
        <v>3.1E-2</v>
      </c>
      <c r="T60" s="51">
        <v>0</v>
      </c>
      <c r="U60" s="51">
        <v>0</v>
      </c>
      <c r="V60" s="51">
        <v>3.0529205034822701E-2</v>
      </c>
      <c r="W60" s="51">
        <v>4.4973365642731099E-2</v>
      </c>
      <c r="X60" s="51">
        <v>-1</v>
      </c>
      <c r="Y60" s="51">
        <v>48.4</v>
      </c>
      <c r="Z60" s="51">
        <v>0</v>
      </c>
      <c r="AA60" s="51">
        <v>1.4999999999999999E-2</v>
      </c>
      <c r="AB60" s="51">
        <v>0.69314718055994495</v>
      </c>
      <c r="AC60" s="51">
        <v>3.8999504241938698</v>
      </c>
      <c r="AD60" s="51">
        <v>0.69314718055994495</v>
      </c>
      <c r="AE60" s="51">
        <v>0</v>
      </c>
      <c r="AF60" s="51">
        <v>1.48886124937505E-2</v>
      </c>
      <c r="AG60" s="51" t="b">
        <f>AND("Zeta" ='Keto-CTA with change &amp;Ln-Values'!$B66)</f>
        <v>0</v>
      </c>
      <c r="AH60" s="51" t="b">
        <f t="shared" si="0"/>
        <v>1</v>
      </c>
    </row>
    <row r="61" spans="1:34" x14ac:dyDescent="0.3">
      <c r="A61" s="51">
        <v>58</v>
      </c>
      <c r="B61" s="52" t="s">
        <v>40</v>
      </c>
      <c r="C61" s="51">
        <v>1</v>
      </c>
      <c r="D61" s="51">
        <v>1</v>
      </c>
      <c r="E61" s="51">
        <v>0</v>
      </c>
      <c r="F61" s="51">
        <v>0</v>
      </c>
      <c r="G61" s="51">
        <v>82.8</v>
      </c>
      <c r="H61" s="51">
        <v>144.9</v>
      </c>
      <c r="I61" s="51">
        <v>3.1</v>
      </c>
      <c r="J61" s="51">
        <v>3.6</v>
      </c>
      <c r="K61" s="51">
        <v>2.5000000000000001E-2</v>
      </c>
      <c r="L61" s="51">
        <v>4.7E-2</v>
      </c>
      <c r="M61" s="51">
        <v>0.69314718055994495</v>
      </c>
      <c r="N61" s="51">
        <v>0.69314718055994495</v>
      </c>
      <c r="O61" s="51">
        <v>0</v>
      </c>
      <c r="P61" s="51">
        <v>0</v>
      </c>
      <c r="Q61" s="51">
        <v>4.4284330074880298</v>
      </c>
      <c r="R61" s="51">
        <v>4.9829214555287402</v>
      </c>
      <c r="S61" s="51">
        <v>2.5000000000000001E-2</v>
      </c>
      <c r="T61" s="51">
        <v>1.4109869737102601</v>
      </c>
      <c r="U61" s="51">
        <v>1.5260563034950401</v>
      </c>
      <c r="V61" s="51">
        <v>2.46926125903714E-2</v>
      </c>
      <c r="W61" s="51">
        <v>4.59289318883997E-2</v>
      </c>
      <c r="X61" s="51">
        <v>0</v>
      </c>
      <c r="Y61" s="51">
        <v>62.1</v>
      </c>
      <c r="Z61" s="51">
        <v>0.5</v>
      </c>
      <c r="AA61" s="51">
        <v>2.1999999999999999E-2</v>
      </c>
      <c r="AB61" s="51">
        <v>0</v>
      </c>
      <c r="AC61" s="51">
        <v>4.1447207695471597</v>
      </c>
      <c r="AD61" s="51">
        <v>0</v>
      </c>
      <c r="AE61" s="51">
        <v>0.405465108108164</v>
      </c>
      <c r="AF61" s="51">
        <v>2.1761491781512699E-2</v>
      </c>
      <c r="AG61" s="51" t="b">
        <f>AND("Zeta" ='Keto-CTA with change &amp;Ln-Values'!$B59)</f>
        <v>1</v>
      </c>
      <c r="AH61" s="51" t="b">
        <f t="shared" si="0"/>
        <v>0</v>
      </c>
    </row>
    <row r="62" spans="1:34" x14ac:dyDescent="0.3">
      <c r="A62" s="51">
        <v>59</v>
      </c>
      <c r="B62" s="52" t="s">
        <v>41</v>
      </c>
      <c r="C62" s="51">
        <v>1</v>
      </c>
      <c r="D62" s="51">
        <v>1</v>
      </c>
      <c r="E62" s="51">
        <v>37</v>
      </c>
      <c r="F62" s="51">
        <v>37</v>
      </c>
      <c r="G62" s="51">
        <v>42.4</v>
      </c>
      <c r="H62" s="51">
        <v>64.7</v>
      </c>
      <c r="I62" s="51">
        <v>8.6999999999999993</v>
      </c>
      <c r="J62" s="51">
        <v>9.3000000000000007</v>
      </c>
      <c r="K62" s="51">
        <v>1.7000000000000001E-2</v>
      </c>
      <c r="L62" s="51">
        <v>2.3E-2</v>
      </c>
      <c r="M62" s="51">
        <v>0.69314718055994495</v>
      </c>
      <c r="N62" s="51">
        <v>0.69314718055994495</v>
      </c>
      <c r="O62" s="51">
        <v>3.6375861597263799</v>
      </c>
      <c r="P62" s="51">
        <v>3.6375861597263799</v>
      </c>
      <c r="Q62" s="51">
        <v>3.7704594411063499</v>
      </c>
      <c r="R62" s="51">
        <v>4.1850989254905597</v>
      </c>
      <c r="S62" s="51">
        <v>1.7000000000000001E-2</v>
      </c>
      <c r="T62" s="51">
        <v>2.2721258855093298</v>
      </c>
      <c r="U62" s="51">
        <v>2.33214389523559</v>
      </c>
      <c r="V62" s="51">
        <v>1.6857117066422799E-2</v>
      </c>
      <c r="W62" s="51">
        <v>2.2739486969489301E-2</v>
      </c>
      <c r="X62" s="51">
        <v>0</v>
      </c>
      <c r="Y62" s="51">
        <v>22.3</v>
      </c>
      <c r="Z62" s="51">
        <v>0.60000000000000098</v>
      </c>
      <c r="AA62" s="51">
        <v>5.9999999999999897E-3</v>
      </c>
      <c r="AB62" s="51">
        <v>0</v>
      </c>
      <c r="AC62" s="51">
        <v>3.1484533605716498</v>
      </c>
      <c r="AD62" s="51">
        <v>0</v>
      </c>
      <c r="AE62" s="51">
        <v>0.47000362924573602</v>
      </c>
      <c r="AF62" s="51">
        <v>5.9820716775474602E-3</v>
      </c>
      <c r="AG62" s="51" t="b">
        <f>AND("Zeta" ='Keto-CTA with change &amp;Ln-Values'!$B60)</f>
        <v>1</v>
      </c>
      <c r="AH62" s="51" t="b">
        <f t="shared" si="0"/>
        <v>0</v>
      </c>
    </row>
    <row r="63" spans="1:34" x14ac:dyDescent="0.3">
      <c r="A63" s="51">
        <v>60</v>
      </c>
      <c r="B63" s="52" t="s">
        <v>40</v>
      </c>
      <c r="C63" s="51">
        <v>1</v>
      </c>
      <c r="D63" s="51">
        <v>1</v>
      </c>
      <c r="E63" s="51">
        <v>0</v>
      </c>
      <c r="F63" s="51">
        <v>0</v>
      </c>
      <c r="G63" s="51">
        <v>4.4000000000000004</v>
      </c>
      <c r="H63" s="51">
        <v>11.2</v>
      </c>
      <c r="I63" s="51">
        <v>0</v>
      </c>
      <c r="J63" s="51">
        <v>0</v>
      </c>
      <c r="K63" s="51">
        <v>1E-3</v>
      </c>
      <c r="L63" s="51">
        <v>4.0000000000000001E-3</v>
      </c>
      <c r="M63" s="51">
        <v>0.69314718055994495</v>
      </c>
      <c r="N63" s="51">
        <v>0.69314718055994495</v>
      </c>
      <c r="O63" s="51">
        <v>0</v>
      </c>
      <c r="P63" s="51">
        <v>0</v>
      </c>
      <c r="Q63" s="51">
        <v>1.68639895357022</v>
      </c>
      <c r="R63" s="51">
        <v>2.50143595173921</v>
      </c>
      <c r="S63" s="51">
        <v>1E-3</v>
      </c>
      <c r="T63" s="51">
        <v>0</v>
      </c>
      <c r="U63" s="51">
        <v>0</v>
      </c>
      <c r="V63" s="51">
        <v>9.9950033308342299E-4</v>
      </c>
      <c r="W63" s="51">
        <v>3.9920212695374498E-3</v>
      </c>
      <c r="X63" s="51">
        <v>0</v>
      </c>
      <c r="Y63" s="51">
        <v>6.7999999999999901</v>
      </c>
      <c r="Z63" s="51">
        <v>0</v>
      </c>
      <c r="AA63" s="51">
        <v>3.0000000000000001E-3</v>
      </c>
      <c r="AB63" s="51">
        <v>0</v>
      </c>
      <c r="AC63" s="51">
        <v>2.05412373369554</v>
      </c>
      <c r="AD63" s="51">
        <v>0</v>
      </c>
      <c r="AE63" s="51">
        <v>0</v>
      </c>
      <c r="AF63" s="51">
        <v>2.9955089797983701E-3</v>
      </c>
      <c r="AG63" s="51" t="b">
        <f>AND("Zeta" ='Keto-CTA with change &amp;Ln-Values'!$B61)</f>
        <v>0</v>
      </c>
      <c r="AH63" s="51" t="b">
        <f t="shared" si="0"/>
        <v>0</v>
      </c>
    </row>
    <row r="64" spans="1:34" x14ac:dyDescent="0.3">
      <c r="A64" s="51">
        <v>69</v>
      </c>
      <c r="B64" s="52" t="s">
        <v>41</v>
      </c>
      <c r="C64" s="51">
        <v>2</v>
      </c>
      <c r="D64" s="51">
        <v>2</v>
      </c>
      <c r="E64" s="51">
        <v>21</v>
      </c>
      <c r="F64" s="51">
        <v>21</v>
      </c>
      <c r="G64" s="51">
        <v>53.7</v>
      </c>
      <c r="H64" s="51">
        <v>99.3</v>
      </c>
      <c r="I64" s="51">
        <v>7.9</v>
      </c>
      <c r="J64" s="51">
        <v>8.1999999999999993</v>
      </c>
      <c r="K64" s="51">
        <v>2.5999999999999999E-2</v>
      </c>
      <c r="L64" s="51">
        <v>4.3999999999999997E-2</v>
      </c>
      <c r="M64" s="51">
        <v>1.0986122886681</v>
      </c>
      <c r="N64" s="51">
        <v>1.0986122886681</v>
      </c>
      <c r="O64" s="51">
        <v>3.0910424533583098</v>
      </c>
      <c r="P64" s="51">
        <v>3.0910424533583098</v>
      </c>
      <c r="Q64" s="51">
        <v>4.0018637094279299</v>
      </c>
      <c r="R64" s="51">
        <v>4.60816569496789</v>
      </c>
      <c r="S64" s="51">
        <v>2.5999999999999999E-2</v>
      </c>
      <c r="T64" s="51">
        <v>2.1860512767380902</v>
      </c>
      <c r="U64" s="51">
        <v>2.2192034840549901</v>
      </c>
      <c r="V64" s="51">
        <v>2.5667746748577799E-2</v>
      </c>
      <c r="W64" s="51">
        <v>4.3059489460446999E-2</v>
      </c>
      <c r="X64" s="51">
        <v>0</v>
      </c>
      <c r="Y64" s="51">
        <v>45.599999999999902</v>
      </c>
      <c r="Z64" s="51">
        <v>0.29999999999999799</v>
      </c>
      <c r="AA64" s="51">
        <v>1.7999999999999999E-2</v>
      </c>
      <c r="AB64" s="51">
        <v>0</v>
      </c>
      <c r="AC64" s="51">
        <v>3.8416005411316001</v>
      </c>
      <c r="AD64" s="51">
        <v>0</v>
      </c>
      <c r="AE64" s="51">
        <v>0.26236426446749</v>
      </c>
      <c r="AF64" s="51">
        <v>1.7839918128330998E-2</v>
      </c>
      <c r="AG64" s="51" t="b">
        <f>AND("Zeta" ='Keto-CTA with change &amp;Ln-Values'!$B70)</f>
        <v>0</v>
      </c>
      <c r="AH64" s="51" t="b">
        <f t="shared" si="0"/>
        <v>0</v>
      </c>
    </row>
    <row r="65" spans="1:34" x14ac:dyDescent="0.3">
      <c r="A65" s="51">
        <v>89</v>
      </c>
      <c r="B65" s="52" t="s">
        <v>39</v>
      </c>
      <c r="C65" s="51">
        <v>5</v>
      </c>
      <c r="D65" s="51">
        <v>4</v>
      </c>
      <c r="E65" s="51">
        <v>135</v>
      </c>
      <c r="F65" s="51">
        <v>135</v>
      </c>
      <c r="G65" s="51">
        <v>46.2</v>
      </c>
      <c r="H65" s="51">
        <v>41.7</v>
      </c>
      <c r="I65" s="51">
        <v>8.4</v>
      </c>
      <c r="J65" s="51">
        <v>7.9</v>
      </c>
      <c r="K65" s="51">
        <v>9.2999999999999999E-2</v>
      </c>
      <c r="L65" s="51">
        <v>6.7000000000000004E-2</v>
      </c>
      <c r="M65" s="51">
        <v>1.7917594692280501</v>
      </c>
      <c r="N65" s="51">
        <v>1.6094379124341001</v>
      </c>
      <c r="O65" s="51">
        <v>4.9126548857360497</v>
      </c>
      <c r="P65" s="51">
        <v>4.9126548857360497</v>
      </c>
      <c r="Q65" s="51">
        <v>3.8543938925914998</v>
      </c>
      <c r="R65" s="51">
        <v>3.75419892023457</v>
      </c>
      <c r="S65" s="51">
        <v>9.2999999999999999E-2</v>
      </c>
      <c r="T65" s="51">
        <v>2.2407096892759499</v>
      </c>
      <c r="U65" s="51">
        <v>2.1860512767380902</v>
      </c>
      <c r="V65" s="51">
        <v>8.8926209194401404E-2</v>
      </c>
      <c r="W65" s="51" t="s">
        <v>96</v>
      </c>
      <c r="X65" s="51">
        <v>0</v>
      </c>
      <c r="Y65" s="51">
        <v>-4.5</v>
      </c>
      <c r="Z65" s="51">
        <v>-0.5</v>
      </c>
      <c r="AA65" s="51">
        <v>-2.5999999999999902E-2</v>
      </c>
      <c r="AB65" s="51">
        <v>0.69314718055994495</v>
      </c>
      <c r="AC65" s="51">
        <v>1.7047480922384199</v>
      </c>
      <c r="AD65" s="51">
        <v>0</v>
      </c>
      <c r="AE65" s="51">
        <v>0.405465108108164</v>
      </c>
      <c r="AF65" s="51">
        <v>2.5667746748577799E-2</v>
      </c>
      <c r="AG65" s="51" t="b">
        <f>AND("Zeta" ='Keto-CTA with change &amp;Ln-Values'!$B90)</f>
        <v>0</v>
      </c>
      <c r="AH65" s="51" t="b">
        <f t="shared" si="0"/>
        <v>0</v>
      </c>
    </row>
    <row r="66" spans="1:34" x14ac:dyDescent="0.3">
      <c r="A66" s="51">
        <v>52</v>
      </c>
      <c r="B66" s="52" t="s">
        <v>41</v>
      </c>
      <c r="C66" s="51">
        <v>0</v>
      </c>
      <c r="D66" s="51">
        <v>2</v>
      </c>
      <c r="E66" s="51">
        <v>0</v>
      </c>
      <c r="F66" s="51">
        <v>1</v>
      </c>
      <c r="G66" s="51">
        <v>20.8</v>
      </c>
      <c r="H66" s="51">
        <v>45.7</v>
      </c>
      <c r="I66" s="51">
        <v>0.3</v>
      </c>
      <c r="J66" s="51">
        <v>0.4</v>
      </c>
      <c r="K66" s="51">
        <v>1.2E-2</v>
      </c>
      <c r="L66" s="51">
        <v>2.9000000000000001E-2</v>
      </c>
      <c r="M66" s="51">
        <v>0</v>
      </c>
      <c r="N66" s="51">
        <v>1.0986122886681</v>
      </c>
      <c r="O66" s="51">
        <v>0</v>
      </c>
      <c r="P66" s="51">
        <v>0.69314718055994495</v>
      </c>
      <c r="Q66" s="51">
        <v>3.0819099697950398</v>
      </c>
      <c r="R66" s="51">
        <v>3.8437441646748498</v>
      </c>
      <c r="S66" s="51">
        <v>1.2E-2</v>
      </c>
      <c r="T66" s="51">
        <v>0.262364264467491</v>
      </c>
      <c r="U66" s="51">
        <v>0.33647223662121201</v>
      </c>
      <c r="V66" s="51">
        <v>1.19285708652738E-2</v>
      </c>
      <c r="W66" s="51">
        <v>2.8587456851912399E-2</v>
      </c>
      <c r="X66" s="51">
        <v>1</v>
      </c>
      <c r="Y66" s="51">
        <v>24.9</v>
      </c>
      <c r="Z66" s="51">
        <v>0.1</v>
      </c>
      <c r="AA66" s="51">
        <v>1.7000000000000001E-2</v>
      </c>
      <c r="AB66" s="51">
        <v>1.0986122886681</v>
      </c>
      <c r="AC66" s="51">
        <v>3.2542429687054901</v>
      </c>
      <c r="AD66" s="51">
        <v>0.69314718055994495</v>
      </c>
      <c r="AE66" s="51">
        <v>9.5310179804324893E-2</v>
      </c>
      <c r="AF66" s="51">
        <v>1.6857117066422799E-2</v>
      </c>
      <c r="AG66" s="51" t="b">
        <f>AND("Zeta" ='Keto-CTA with change &amp;Ln-Values'!$B53)</f>
        <v>0</v>
      </c>
      <c r="AH66" s="51" t="b">
        <f t="shared" ref="AH66:AH100" si="1">ABS(X66) &gt; 0</f>
        <v>1</v>
      </c>
    </row>
    <row r="67" spans="1:34" x14ac:dyDescent="0.3">
      <c r="A67" s="51">
        <v>53</v>
      </c>
      <c r="B67" s="52" t="s">
        <v>41</v>
      </c>
      <c r="C67" s="51">
        <v>0</v>
      </c>
      <c r="D67" s="51">
        <v>3</v>
      </c>
      <c r="E67" s="51">
        <v>0</v>
      </c>
      <c r="F67" s="51">
        <v>1</v>
      </c>
      <c r="G67" s="51">
        <v>67.099999999999994</v>
      </c>
      <c r="H67" s="51">
        <v>166.7</v>
      </c>
      <c r="I67" s="51">
        <v>5.3</v>
      </c>
      <c r="J67" s="51">
        <v>15.1</v>
      </c>
      <c r="K67" s="51">
        <v>3.5999999999999997E-2</v>
      </c>
      <c r="L67" s="51">
        <v>0.09</v>
      </c>
      <c r="M67" s="51">
        <v>0</v>
      </c>
      <c r="N67" s="51">
        <v>1.3862943611198899</v>
      </c>
      <c r="O67" s="51">
        <v>0</v>
      </c>
      <c r="P67" s="51">
        <v>0.69314718055994495</v>
      </c>
      <c r="Q67" s="51">
        <v>4.2209772131554599</v>
      </c>
      <c r="R67" s="51">
        <v>5.1221766688291597</v>
      </c>
      <c r="S67" s="51">
        <v>3.5999999999999997E-2</v>
      </c>
      <c r="T67" s="51">
        <v>1.84054963339748</v>
      </c>
      <c r="U67" s="51">
        <v>2.7788192719904101</v>
      </c>
      <c r="V67" s="51">
        <v>3.5367143837291302E-2</v>
      </c>
      <c r="W67" s="51">
        <v>8.6177696241052398E-2</v>
      </c>
      <c r="X67" s="51">
        <v>1</v>
      </c>
      <c r="Y67" s="51">
        <v>99.6</v>
      </c>
      <c r="Z67" s="51">
        <v>9.8000000000000007</v>
      </c>
      <c r="AA67" s="51">
        <v>5.3999999999999999E-2</v>
      </c>
      <c r="AB67" s="51">
        <v>1.3862943611198899</v>
      </c>
      <c r="AC67" s="51">
        <v>4.6111522576656299</v>
      </c>
      <c r="AD67" s="51">
        <v>0.69314718055994495</v>
      </c>
      <c r="AE67" s="51">
        <v>2.37954613413017</v>
      </c>
      <c r="AF67" s="51">
        <v>5.2592450119170603E-2</v>
      </c>
      <c r="AG67" s="51" t="b">
        <f>AND("Zeta" ='Keto-CTA with change &amp;Ln-Values'!$B54)</f>
        <v>0</v>
      </c>
      <c r="AH67" s="51" t="b">
        <f t="shared" si="1"/>
        <v>1</v>
      </c>
    </row>
    <row r="68" spans="1:34" x14ac:dyDescent="0.3">
      <c r="A68" s="51">
        <v>81</v>
      </c>
      <c r="B68" s="52" t="s">
        <v>41</v>
      </c>
      <c r="C68" s="51">
        <v>3</v>
      </c>
      <c r="D68" s="51">
        <v>5</v>
      </c>
      <c r="E68" s="51">
        <v>80</v>
      </c>
      <c r="F68" s="51">
        <v>81</v>
      </c>
      <c r="G68" s="51">
        <v>163.9</v>
      </c>
      <c r="H68" s="51">
        <v>248.2</v>
      </c>
      <c r="I68" s="51">
        <v>20.3</v>
      </c>
      <c r="J68" s="51">
        <v>33.200000000000003</v>
      </c>
      <c r="K68" s="51">
        <v>5.6000000000000001E-2</v>
      </c>
      <c r="L68" s="51">
        <v>7.0000000000000007E-2</v>
      </c>
      <c r="M68" s="51">
        <v>1.3862943611198899</v>
      </c>
      <c r="N68" s="51">
        <v>1.7917594692280501</v>
      </c>
      <c r="O68" s="51">
        <v>4.3944491546724302</v>
      </c>
      <c r="P68" s="51">
        <v>4.4067192472642498</v>
      </c>
      <c r="Q68" s="51">
        <v>5.1053392295655504</v>
      </c>
      <c r="R68" s="51">
        <v>5.51825578691329</v>
      </c>
      <c r="S68" s="51">
        <v>5.6000000000000001E-2</v>
      </c>
      <c r="T68" s="51">
        <v>3.0587070727153698</v>
      </c>
      <c r="U68" s="51">
        <v>3.53222564406855</v>
      </c>
      <c r="V68" s="51">
        <v>5.44881852840697E-2</v>
      </c>
      <c r="W68" s="51">
        <v>6.7658648473814795E-2</v>
      </c>
      <c r="X68" s="51">
        <v>1</v>
      </c>
      <c r="Y68" s="51">
        <v>84.299999999999898</v>
      </c>
      <c r="Z68" s="51">
        <v>12.9</v>
      </c>
      <c r="AA68" s="51">
        <v>1.4E-2</v>
      </c>
      <c r="AB68" s="51">
        <v>1.0986122886681</v>
      </c>
      <c r="AC68" s="51">
        <v>4.4461744544976298</v>
      </c>
      <c r="AD68" s="51">
        <v>0.69314718055994495</v>
      </c>
      <c r="AE68" s="51">
        <v>2.6318888401366398</v>
      </c>
      <c r="AF68" s="51">
        <v>1.3902905168991401E-2</v>
      </c>
      <c r="AG68" s="51" t="b">
        <f>AND("Zeta" ='Keto-CTA with change &amp;Ln-Values'!$B82)</f>
        <v>0</v>
      </c>
      <c r="AH68" s="51" t="b">
        <f t="shared" si="1"/>
        <v>1</v>
      </c>
    </row>
    <row r="69" spans="1:34" x14ac:dyDescent="0.3">
      <c r="A69" s="51">
        <v>71</v>
      </c>
      <c r="B69" s="52" t="s">
        <v>41</v>
      </c>
      <c r="C69" s="51">
        <v>2</v>
      </c>
      <c r="D69" s="51">
        <v>3</v>
      </c>
      <c r="E69" s="51">
        <v>3</v>
      </c>
      <c r="F69" s="51">
        <v>5</v>
      </c>
      <c r="G69" s="51">
        <v>164.2</v>
      </c>
      <c r="H69" s="51">
        <v>220</v>
      </c>
      <c r="I69" s="51">
        <v>0</v>
      </c>
      <c r="J69" s="51">
        <v>0.5</v>
      </c>
      <c r="K69" s="51">
        <v>3.6999999999999998E-2</v>
      </c>
      <c r="L69" s="51">
        <v>5.0999999999999997E-2</v>
      </c>
      <c r="M69" s="51">
        <v>1.0986122886681</v>
      </c>
      <c r="N69" s="51">
        <v>1.3862943611198899</v>
      </c>
      <c r="O69" s="51">
        <v>1.3862943611198899</v>
      </c>
      <c r="P69" s="51">
        <v>1.7917594692280501</v>
      </c>
      <c r="Q69" s="51">
        <v>5.1071568610868701</v>
      </c>
      <c r="R69" s="51">
        <v>5.3981627015177498</v>
      </c>
      <c r="S69" s="51">
        <v>3.6999999999999998E-2</v>
      </c>
      <c r="T69" s="51">
        <v>0</v>
      </c>
      <c r="U69" s="51">
        <v>0.405465108108164</v>
      </c>
      <c r="V69" s="51">
        <v>3.6331929247390198E-2</v>
      </c>
      <c r="W69" s="51">
        <v>4.9742091894814003E-2</v>
      </c>
      <c r="X69" s="51">
        <v>2</v>
      </c>
      <c r="Y69" s="51">
        <v>55.8</v>
      </c>
      <c r="Z69" s="51">
        <v>0.5</v>
      </c>
      <c r="AA69" s="51">
        <v>1.39999999999999E-2</v>
      </c>
      <c r="AB69" s="51">
        <v>0.69314718055994495</v>
      </c>
      <c r="AC69" s="51">
        <v>4.0395363257271004</v>
      </c>
      <c r="AD69" s="51">
        <v>1.0986122886681</v>
      </c>
      <c r="AE69" s="51">
        <v>0.405465108108164</v>
      </c>
      <c r="AF69" s="51">
        <v>1.3902905168991401E-2</v>
      </c>
      <c r="AG69" s="51" t="b">
        <f>AND("Zeta" ='Keto-CTA with change &amp;Ln-Values'!$B72)</f>
        <v>0</v>
      </c>
      <c r="AH69" s="51" t="b">
        <f t="shared" si="1"/>
        <v>1</v>
      </c>
    </row>
    <row r="70" spans="1:34" x14ac:dyDescent="0.3">
      <c r="A70" s="51">
        <v>87</v>
      </c>
      <c r="B70" s="52" t="s">
        <v>41</v>
      </c>
      <c r="C70" s="51">
        <v>4</v>
      </c>
      <c r="D70" s="51">
        <v>6</v>
      </c>
      <c r="E70" s="51">
        <v>101</v>
      </c>
      <c r="F70" s="51">
        <v>103</v>
      </c>
      <c r="G70" s="51">
        <v>100.5</v>
      </c>
      <c r="H70" s="51">
        <v>180.3</v>
      </c>
      <c r="I70" s="51">
        <v>41.8</v>
      </c>
      <c r="J70" s="51">
        <v>43.1</v>
      </c>
      <c r="K70" s="51">
        <v>5.5E-2</v>
      </c>
      <c r="L70" s="51">
        <v>0.09</v>
      </c>
      <c r="M70" s="51">
        <v>1.6094379124341001</v>
      </c>
      <c r="N70" s="51">
        <v>1.9459101490553099</v>
      </c>
      <c r="O70" s="51">
        <v>4.6249728132842698</v>
      </c>
      <c r="P70" s="51">
        <v>4.6443908991413698</v>
      </c>
      <c r="Q70" s="51">
        <v>4.62005879848184</v>
      </c>
      <c r="R70" s="51">
        <v>5.2001531177607996</v>
      </c>
      <c r="S70" s="51">
        <v>5.5E-2</v>
      </c>
      <c r="T70" s="51">
        <v>3.7565381025877498</v>
      </c>
      <c r="U70" s="51">
        <v>3.7864597824528001</v>
      </c>
      <c r="V70" s="51">
        <v>5.3540766928029698E-2</v>
      </c>
      <c r="W70" s="51">
        <v>8.6177696241052398E-2</v>
      </c>
      <c r="X70" s="51">
        <v>2</v>
      </c>
      <c r="Y70" s="51">
        <v>79.8</v>
      </c>
      <c r="Z70" s="51">
        <v>1.3</v>
      </c>
      <c r="AA70" s="51">
        <v>3.4999999999999899E-2</v>
      </c>
      <c r="AB70" s="51">
        <v>1.0986122886681</v>
      </c>
      <c r="AC70" s="51">
        <v>4.39197696552705</v>
      </c>
      <c r="AD70" s="51">
        <v>1.0986122886681</v>
      </c>
      <c r="AE70" s="51">
        <v>0.832909122935105</v>
      </c>
      <c r="AF70" s="51">
        <v>3.4401426717332297E-2</v>
      </c>
      <c r="AG70" s="51" t="b">
        <f>AND("Zeta" ='Keto-CTA with change &amp;Ln-Values'!$B88)</f>
        <v>1</v>
      </c>
      <c r="AH70" s="51" t="b">
        <f t="shared" si="1"/>
        <v>1</v>
      </c>
    </row>
    <row r="71" spans="1:34" x14ac:dyDescent="0.3">
      <c r="A71" s="51">
        <v>68</v>
      </c>
      <c r="B71" s="52" t="s">
        <v>41</v>
      </c>
      <c r="C71" s="51">
        <v>1</v>
      </c>
      <c r="D71" s="51">
        <v>5</v>
      </c>
      <c r="E71" s="51">
        <v>0</v>
      </c>
      <c r="F71" s="51">
        <v>3</v>
      </c>
      <c r="G71" s="51">
        <v>171.5</v>
      </c>
      <c r="H71" s="51">
        <v>211.9</v>
      </c>
      <c r="I71" s="51">
        <v>0</v>
      </c>
      <c r="J71" s="51">
        <v>0.4</v>
      </c>
      <c r="K71" s="51">
        <v>5.1999999999999998E-2</v>
      </c>
      <c r="L71" s="51">
        <v>7.2999999999999995E-2</v>
      </c>
      <c r="M71" s="51">
        <v>0.69314718055994495</v>
      </c>
      <c r="N71" s="51">
        <v>1.7917594692280501</v>
      </c>
      <c r="O71" s="51">
        <v>0</v>
      </c>
      <c r="P71" s="51">
        <v>1.3862943611198899</v>
      </c>
      <c r="Q71" s="51">
        <v>5.1503972364714103</v>
      </c>
      <c r="R71" s="51">
        <v>5.3608225718994298</v>
      </c>
      <c r="S71" s="51">
        <v>5.1999999999999998E-2</v>
      </c>
      <c r="T71" s="51">
        <v>0</v>
      </c>
      <c r="U71" s="51">
        <v>0.33647223662121201</v>
      </c>
      <c r="V71" s="51">
        <v>5.0693114315518102E-2</v>
      </c>
      <c r="W71" s="51">
        <v>7.0458463648561301E-2</v>
      </c>
      <c r="X71" s="51">
        <v>3</v>
      </c>
      <c r="Y71" s="51">
        <v>40.4</v>
      </c>
      <c r="Z71" s="51">
        <v>0.4</v>
      </c>
      <c r="AA71" s="51">
        <v>2.0999999999999901E-2</v>
      </c>
      <c r="AB71" s="51">
        <v>1.6094379124341001</v>
      </c>
      <c r="AC71" s="51">
        <v>3.7232808808312599</v>
      </c>
      <c r="AD71" s="51">
        <v>1.3862943611198899</v>
      </c>
      <c r="AE71" s="51">
        <v>0.33647223662121201</v>
      </c>
      <c r="AF71" s="51">
        <v>2.0782539182528401E-2</v>
      </c>
      <c r="AG71" s="51" t="b">
        <f>AND("Zeta" ='Keto-CTA with change &amp;Ln-Values'!$B69)</f>
        <v>0</v>
      </c>
      <c r="AH71" s="51" t="b">
        <f t="shared" si="1"/>
        <v>1</v>
      </c>
    </row>
    <row r="72" spans="1:34" x14ac:dyDescent="0.3">
      <c r="A72" s="51">
        <v>61</v>
      </c>
      <c r="B72" s="52" t="s">
        <v>41</v>
      </c>
      <c r="C72" s="51">
        <v>1</v>
      </c>
      <c r="D72" s="51">
        <v>1</v>
      </c>
      <c r="E72" s="51">
        <v>9</v>
      </c>
      <c r="F72" s="51">
        <v>13</v>
      </c>
      <c r="G72" s="51">
        <v>12.8</v>
      </c>
      <c r="H72" s="51">
        <v>15.2</v>
      </c>
      <c r="I72" s="51">
        <v>2.2000000000000002</v>
      </c>
      <c r="J72" s="51">
        <v>3.7</v>
      </c>
      <c r="K72" s="51">
        <v>8.0000000000000002E-3</v>
      </c>
      <c r="L72" s="51">
        <v>8.9999999999999993E-3</v>
      </c>
      <c r="M72" s="51">
        <v>0.69314718055994495</v>
      </c>
      <c r="N72" s="51">
        <v>0.69314718055994495</v>
      </c>
      <c r="O72" s="51">
        <v>2.3025850929940401</v>
      </c>
      <c r="P72" s="51">
        <v>2.63905732961525</v>
      </c>
      <c r="Q72" s="51">
        <v>2.6246685921631498</v>
      </c>
      <c r="R72" s="51">
        <v>2.7850112422383302</v>
      </c>
      <c r="S72" s="51">
        <v>8.0000000000000002E-3</v>
      </c>
      <c r="T72" s="51">
        <v>1.16315080980568</v>
      </c>
      <c r="U72" s="51">
        <v>1.5475625087160101</v>
      </c>
      <c r="V72" s="51">
        <v>7.9681696491768796E-3</v>
      </c>
      <c r="W72" s="51">
        <v>8.9597413714717997E-3</v>
      </c>
      <c r="X72" s="51">
        <v>4</v>
      </c>
      <c r="Y72" s="51">
        <v>2.3999999999999901</v>
      </c>
      <c r="Z72" s="51">
        <v>1.5</v>
      </c>
      <c r="AA72" s="51">
        <v>9.9999999999999894E-4</v>
      </c>
      <c r="AB72" s="51">
        <v>0</v>
      </c>
      <c r="AC72" s="51">
        <v>1.2237754316221101</v>
      </c>
      <c r="AD72" s="51">
        <v>1.6094379124341001</v>
      </c>
      <c r="AE72" s="51">
        <v>0.916290731874155</v>
      </c>
      <c r="AF72" s="51">
        <v>9.9950033308342299E-4</v>
      </c>
      <c r="AG72" s="51" t="b">
        <f>AND("Zeta" ='Keto-CTA with change &amp;Ln-Values'!$B62)</f>
        <v>0</v>
      </c>
      <c r="AH72" s="51" t="b">
        <f t="shared" si="1"/>
        <v>1</v>
      </c>
    </row>
    <row r="73" spans="1:34" x14ac:dyDescent="0.3">
      <c r="A73" s="51">
        <v>64</v>
      </c>
      <c r="B73" s="52" t="s">
        <v>41</v>
      </c>
      <c r="C73" s="51">
        <v>1</v>
      </c>
      <c r="D73" s="51">
        <v>2</v>
      </c>
      <c r="E73" s="51">
        <v>63</v>
      </c>
      <c r="F73" s="51">
        <v>67</v>
      </c>
      <c r="G73" s="51">
        <v>53.3</v>
      </c>
      <c r="H73" s="51">
        <v>104.7</v>
      </c>
      <c r="I73" s="51">
        <v>29.8</v>
      </c>
      <c r="J73" s="51">
        <v>34.700000000000003</v>
      </c>
      <c r="K73" s="51">
        <v>1.7999999999999999E-2</v>
      </c>
      <c r="L73" s="51">
        <v>3.2000000000000001E-2</v>
      </c>
      <c r="M73" s="51">
        <v>0.69314718055994495</v>
      </c>
      <c r="N73" s="51">
        <v>1.0986122886681</v>
      </c>
      <c r="O73" s="51">
        <v>4.1588830833596697</v>
      </c>
      <c r="P73" s="51">
        <v>4.2195077051760999</v>
      </c>
      <c r="Q73" s="51">
        <v>3.99452422693988</v>
      </c>
      <c r="R73" s="51">
        <v>4.6606048928761901</v>
      </c>
      <c r="S73" s="51">
        <v>1.7999999999999999E-2</v>
      </c>
      <c r="T73" s="51">
        <v>3.4275146899795201</v>
      </c>
      <c r="U73" s="51">
        <v>3.5751506887855902</v>
      </c>
      <c r="V73" s="51">
        <v>1.7839918128330998E-2</v>
      </c>
      <c r="W73" s="51">
        <v>3.1498667059371002E-2</v>
      </c>
      <c r="X73" s="51">
        <v>4</v>
      </c>
      <c r="Y73" s="51">
        <v>51.4</v>
      </c>
      <c r="Z73" s="51">
        <v>4.9000000000000004</v>
      </c>
      <c r="AA73" s="51">
        <v>1.4E-2</v>
      </c>
      <c r="AB73" s="51">
        <v>0.69314718055994495</v>
      </c>
      <c r="AC73" s="51">
        <v>3.9589065913269899</v>
      </c>
      <c r="AD73" s="51">
        <v>1.6094379124341001</v>
      </c>
      <c r="AE73" s="51">
        <v>1.77495235091167</v>
      </c>
      <c r="AF73" s="51">
        <v>1.3902905168991401E-2</v>
      </c>
      <c r="AG73" s="51" t="b">
        <f>AND("Zeta" ='Keto-CTA with change &amp;Ln-Values'!$B65)</f>
        <v>1</v>
      </c>
      <c r="AH73" s="51" t="b">
        <f t="shared" si="1"/>
        <v>1</v>
      </c>
    </row>
    <row r="74" spans="1:34" x14ac:dyDescent="0.3">
      <c r="A74" s="51">
        <v>67</v>
      </c>
      <c r="B74" s="52" t="s">
        <v>41</v>
      </c>
      <c r="C74" s="51">
        <v>1</v>
      </c>
      <c r="D74" s="51">
        <v>3</v>
      </c>
      <c r="E74" s="51">
        <v>4</v>
      </c>
      <c r="F74" s="51">
        <v>8</v>
      </c>
      <c r="G74" s="51">
        <v>139.4</v>
      </c>
      <c r="H74" s="51">
        <v>153.6</v>
      </c>
      <c r="I74" s="51">
        <v>0</v>
      </c>
      <c r="J74" s="51">
        <v>4.2</v>
      </c>
      <c r="K74" s="51">
        <v>2.5999999999999999E-2</v>
      </c>
      <c r="L74" s="51">
        <v>3.2000000000000001E-2</v>
      </c>
      <c r="M74" s="51">
        <v>0.69314718055994495</v>
      </c>
      <c r="N74" s="51">
        <v>1.3862943611198899</v>
      </c>
      <c r="O74" s="51">
        <v>1.6094379124341001</v>
      </c>
      <c r="P74" s="51">
        <v>2.1972245773362098</v>
      </c>
      <c r="Q74" s="51">
        <v>4.9444954915917103</v>
      </c>
      <c r="R74" s="51">
        <v>5.0408411361533201</v>
      </c>
      <c r="S74" s="51">
        <v>2.5999999999999999E-2</v>
      </c>
      <c r="T74" s="51">
        <v>0</v>
      </c>
      <c r="U74" s="51">
        <v>1.6486586255873801</v>
      </c>
      <c r="V74" s="51">
        <v>2.5667746748577799E-2</v>
      </c>
      <c r="W74" s="51">
        <v>3.1498667059371002E-2</v>
      </c>
      <c r="X74" s="51">
        <v>4</v>
      </c>
      <c r="Y74" s="51">
        <v>14.1999999999999</v>
      </c>
      <c r="Z74" s="51">
        <v>4.2</v>
      </c>
      <c r="AA74" s="51">
        <v>6.0000000000000001E-3</v>
      </c>
      <c r="AB74" s="51">
        <v>1.0986122886681</v>
      </c>
      <c r="AC74" s="51">
        <v>2.7212954278522301</v>
      </c>
      <c r="AD74" s="51">
        <v>1.6094379124341001</v>
      </c>
      <c r="AE74" s="51">
        <v>1.6486586255873801</v>
      </c>
      <c r="AF74" s="51">
        <v>5.9820716775474602E-3</v>
      </c>
      <c r="AG74" s="51" t="b">
        <f>AND("Zeta" ='Keto-CTA with change &amp;Ln-Values'!$B68)</f>
        <v>0</v>
      </c>
      <c r="AH74" s="51" t="b">
        <f t="shared" si="1"/>
        <v>1</v>
      </c>
    </row>
    <row r="75" spans="1:34" x14ac:dyDescent="0.3">
      <c r="A75" s="51">
        <v>72</v>
      </c>
      <c r="B75" s="52" t="s">
        <v>41</v>
      </c>
      <c r="C75" s="51">
        <v>2</v>
      </c>
      <c r="D75" s="51">
        <v>3</v>
      </c>
      <c r="E75" s="51">
        <v>12</v>
      </c>
      <c r="F75" s="51">
        <v>17</v>
      </c>
      <c r="G75" s="51">
        <v>290.2</v>
      </c>
      <c r="H75" s="51">
        <v>301</v>
      </c>
      <c r="I75" s="51">
        <v>4</v>
      </c>
      <c r="J75" s="51">
        <v>8.1</v>
      </c>
      <c r="K75" s="51">
        <v>8.4000000000000005E-2</v>
      </c>
      <c r="L75" s="51">
        <v>9.4E-2</v>
      </c>
      <c r="M75" s="51">
        <v>1.0986122886681</v>
      </c>
      <c r="N75" s="51">
        <v>1.3862943611198899</v>
      </c>
      <c r="O75" s="51">
        <v>2.5649493574615301</v>
      </c>
      <c r="P75" s="51">
        <v>2.8903717578961601</v>
      </c>
      <c r="Q75" s="51">
        <v>5.6740103163225299</v>
      </c>
      <c r="R75" s="51">
        <v>5.7104270173748697</v>
      </c>
      <c r="S75" s="51">
        <v>8.4000000000000005E-2</v>
      </c>
      <c r="T75" s="51">
        <v>1.6094379124341001</v>
      </c>
      <c r="U75" s="51">
        <v>2.2082744135227999</v>
      </c>
      <c r="V75" s="51">
        <v>8.0657903017454499E-2</v>
      </c>
      <c r="W75" s="51">
        <v>8.9840703999789495E-2</v>
      </c>
      <c r="X75" s="51">
        <v>5</v>
      </c>
      <c r="Y75" s="51">
        <v>10.8</v>
      </c>
      <c r="Z75" s="51">
        <v>4.0999999999999996</v>
      </c>
      <c r="AA75" s="51">
        <v>9.9999999999999898E-3</v>
      </c>
      <c r="AB75" s="51">
        <v>0.69314718055994495</v>
      </c>
      <c r="AC75" s="51">
        <v>2.4680995314716201</v>
      </c>
      <c r="AD75" s="51">
        <v>1.7917594692280501</v>
      </c>
      <c r="AE75" s="51">
        <v>1.62924053973028</v>
      </c>
      <c r="AF75" s="51">
        <v>9.9503308531680903E-3</v>
      </c>
      <c r="AG75" s="51" t="b">
        <f>AND("Zeta" ='Keto-CTA with change &amp;Ln-Values'!$B73)</f>
        <v>0</v>
      </c>
      <c r="AH75" s="51" t="b">
        <f t="shared" si="1"/>
        <v>1</v>
      </c>
    </row>
    <row r="76" spans="1:34" x14ac:dyDescent="0.3">
      <c r="A76" s="51">
        <v>74</v>
      </c>
      <c r="B76" s="52" t="s">
        <v>41</v>
      </c>
      <c r="C76" s="51">
        <v>2</v>
      </c>
      <c r="D76" s="51">
        <v>3</v>
      </c>
      <c r="E76" s="51">
        <v>2</v>
      </c>
      <c r="F76" s="51">
        <v>7</v>
      </c>
      <c r="G76" s="51">
        <v>141.1</v>
      </c>
      <c r="H76" s="51">
        <v>191</v>
      </c>
      <c r="I76" s="51">
        <v>5.3</v>
      </c>
      <c r="J76" s="51">
        <v>6</v>
      </c>
      <c r="K76" s="51">
        <v>6.3E-2</v>
      </c>
      <c r="L76" s="51">
        <v>0.08</v>
      </c>
      <c r="M76" s="51">
        <v>1.0986122886681</v>
      </c>
      <c r="N76" s="51">
        <v>1.3862943611198899</v>
      </c>
      <c r="O76" s="51">
        <v>1.0986122886681</v>
      </c>
      <c r="P76" s="51">
        <v>2.07944154167983</v>
      </c>
      <c r="Q76" s="51">
        <v>4.9565310351030503</v>
      </c>
      <c r="R76" s="51">
        <v>5.2574953720277797</v>
      </c>
      <c r="S76" s="51">
        <v>6.3E-2</v>
      </c>
      <c r="T76" s="51">
        <v>1.84054963339748</v>
      </c>
      <c r="U76" s="51">
        <v>1.9459101490553099</v>
      </c>
      <c r="V76" s="51">
        <v>6.1095099359810799E-2</v>
      </c>
      <c r="W76" s="51">
        <v>7.6961041136128394E-2</v>
      </c>
      <c r="X76" s="51">
        <v>5</v>
      </c>
      <c r="Y76" s="51">
        <v>49.9</v>
      </c>
      <c r="Z76" s="51">
        <v>0.7</v>
      </c>
      <c r="AA76" s="51">
        <v>1.7000000000000001E-2</v>
      </c>
      <c r="AB76" s="51">
        <v>0.69314718055994495</v>
      </c>
      <c r="AC76" s="51">
        <v>3.9298629235564699</v>
      </c>
      <c r="AD76" s="51">
        <v>1.7917594692280501</v>
      </c>
      <c r="AE76" s="51">
        <v>0.53062825106217004</v>
      </c>
      <c r="AF76" s="51">
        <v>1.6857117066422799E-2</v>
      </c>
      <c r="AG76" s="51" t="b">
        <f>AND("Zeta" ='Keto-CTA with change &amp;Ln-Values'!$B75)</f>
        <v>0</v>
      </c>
      <c r="AH76" s="51" t="b">
        <f t="shared" si="1"/>
        <v>1</v>
      </c>
    </row>
    <row r="77" spans="1:34" x14ac:dyDescent="0.3">
      <c r="A77" s="51">
        <v>91</v>
      </c>
      <c r="B77" s="52" t="s">
        <v>41</v>
      </c>
      <c r="C77" s="51">
        <v>6</v>
      </c>
      <c r="D77" s="51">
        <v>6</v>
      </c>
      <c r="E77" s="51">
        <v>119</v>
      </c>
      <c r="F77" s="51">
        <v>124</v>
      </c>
      <c r="G77" s="51">
        <v>183.5</v>
      </c>
      <c r="H77" s="51">
        <v>213.8</v>
      </c>
      <c r="I77" s="51">
        <v>42.7</v>
      </c>
      <c r="J77" s="51">
        <v>44.5</v>
      </c>
      <c r="K77" s="51">
        <v>5.3999999999999999E-2</v>
      </c>
      <c r="L77" s="51">
        <v>7.1999999999999995E-2</v>
      </c>
      <c r="M77" s="51">
        <v>1.9459101490553099</v>
      </c>
      <c r="N77" s="51">
        <v>1.9459101490553099</v>
      </c>
      <c r="O77" s="51">
        <v>4.7874917427820396</v>
      </c>
      <c r="P77" s="51">
        <v>4.8283137373022997</v>
      </c>
      <c r="Q77" s="51">
        <v>5.2176494634805799</v>
      </c>
      <c r="R77" s="51">
        <v>5.3697073626347098</v>
      </c>
      <c r="S77" s="51">
        <v>5.3999999999999999E-2</v>
      </c>
      <c r="T77" s="51">
        <v>3.77734810210154</v>
      </c>
      <c r="U77" s="51">
        <v>3.8177123259568999</v>
      </c>
      <c r="V77" s="51">
        <v>5.2592450119170603E-2</v>
      </c>
      <c r="W77" s="51">
        <v>6.9526062648610304E-2</v>
      </c>
      <c r="X77" s="51">
        <v>5</v>
      </c>
      <c r="Y77" s="51">
        <v>30.3</v>
      </c>
      <c r="Z77" s="51">
        <v>1.7999999999999901</v>
      </c>
      <c r="AA77" s="51">
        <v>1.7999999999999901E-2</v>
      </c>
      <c r="AB77" s="51">
        <v>0</v>
      </c>
      <c r="AC77" s="51">
        <v>3.4436180975460999</v>
      </c>
      <c r="AD77" s="51">
        <v>1.7917594692280501</v>
      </c>
      <c r="AE77" s="51">
        <v>1.0296194171811499</v>
      </c>
      <c r="AF77" s="51">
        <v>1.7839918128330998E-2</v>
      </c>
      <c r="AG77" s="51" t="b">
        <f>AND("Zeta" ='Keto-CTA with change &amp;Ln-Values'!$B92)</f>
        <v>0</v>
      </c>
      <c r="AH77" s="51" t="b">
        <f t="shared" si="1"/>
        <v>1</v>
      </c>
    </row>
    <row r="78" spans="1:34" x14ac:dyDescent="0.3">
      <c r="A78" s="51">
        <v>92</v>
      </c>
      <c r="B78" s="52" t="s">
        <v>41</v>
      </c>
      <c r="C78" s="51">
        <v>6</v>
      </c>
      <c r="D78" s="51">
        <v>9</v>
      </c>
      <c r="E78" s="51">
        <v>295</v>
      </c>
      <c r="F78" s="51">
        <v>300</v>
      </c>
      <c r="G78" s="51">
        <v>252.3</v>
      </c>
      <c r="H78" s="51">
        <v>319.7</v>
      </c>
      <c r="I78" s="51">
        <v>98.4</v>
      </c>
      <c r="J78" s="51">
        <v>109.1</v>
      </c>
      <c r="K78" s="51">
        <v>9.7000000000000003E-2</v>
      </c>
      <c r="L78" s="51">
        <v>0.121</v>
      </c>
      <c r="M78" s="51">
        <v>1.9459101490553099</v>
      </c>
      <c r="N78" s="51">
        <v>2.3025850929940401</v>
      </c>
      <c r="O78" s="51">
        <v>5.6903594543240601</v>
      </c>
      <c r="P78" s="51">
        <v>5.7071102647488701</v>
      </c>
      <c r="Q78" s="51">
        <v>5.5345745570076197</v>
      </c>
      <c r="R78" s="51">
        <v>5.7705061066991004</v>
      </c>
      <c r="S78" s="51">
        <v>9.7000000000000003E-2</v>
      </c>
      <c r="T78" s="51">
        <v>4.5991521136625204</v>
      </c>
      <c r="U78" s="51">
        <v>4.7013890437286303</v>
      </c>
      <c r="V78" s="51">
        <v>9.2579181293093102E-2</v>
      </c>
      <c r="W78" s="51">
        <v>0.114221144090022</v>
      </c>
      <c r="X78" s="51">
        <v>5</v>
      </c>
      <c r="Y78" s="51">
        <v>67.399999999999906</v>
      </c>
      <c r="Z78" s="51">
        <v>10.6999999999999</v>
      </c>
      <c r="AA78" s="51">
        <v>2.39999999999999E-2</v>
      </c>
      <c r="AB78" s="51">
        <v>1.3862943611198899</v>
      </c>
      <c r="AC78" s="51">
        <v>4.2253728246284998</v>
      </c>
      <c r="AD78" s="51">
        <v>1.7917594692280501</v>
      </c>
      <c r="AE78" s="51">
        <v>2.4595888418037002</v>
      </c>
      <c r="AF78" s="51">
        <v>2.3716526617315999E-2</v>
      </c>
      <c r="AG78" s="51" t="b">
        <f>AND("Zeta" ='Keto-CTA with change &amp;Ln-Values'!$B93)</f>
        <v>0</v>
      </c>
      <c r="AH78" s="51" t="b">
        <f t="shared" si="1"/>
        <v>1</v>
      </c>
    </row>
    <row r="79" spans="1:34" x14ac:dyDescent="0.3">
      <c r="A79" s="51">
        <v>97</v>
      </c>
      <c r="B79" s="52" t="s">
        <v>41</v>
      </c>
      <c r="C79" s="51">
        <v>8</v>
      </c>
      <c r="D79" s="51">
        <v>10</v>
      </c>
      <c r="E79" s="51">
        <v>47</v>
      </c>
      <c r="F79" s="51">
        <v>54</v>
      </c>
      <c r="G79" s="51">
        <v>105.7</v>
      </c>
      <c r="H79" s="51">
        <v>166.7</v>
      </c>
      <c r="I79" s="51">
        <v>30.5</v>
      </c>
      <c r="J79" s="51">
        <v>58.4</v>
      </c>
      <c r="K79" s="51">
        <v>7.6999999999999999E-2</v>
      </c>
      <c r="L79" s="51">
        <v>0.106</v>
      </c>
      <c r="M79" s="51">
        <v>2.1972245773362098</v>
      </c>
      <c r="N79" s="51">
        <v>2.3978952727983698</v>
      </c>
      <c r="O79" s="51">
        <v>3.8712010109078898</v>
      </c>
      <c r="P79" s="51">
        <v>4.0073331852324703</v>
      </c>
      <c r="Q79" s="51">
        <v>4.6700211583076996</v>
      </c>
      <c r="R79" s="51">
        <v>5.1221766688291597</v>
      </c>
      <c r="S79" s="51">
        <v>7.6999999999999999E-2</v>
      </c>
      <c r="T79" s="51">
        <v>3.4499875458315801</v>
      </c>
      <c r="U79" s="51">
        <v>4.0842942263685904</v>
      </c>
      <c r="V79" s="51">
        <v>7.4179398174251399E-2</v>
      </c>
      <c r="W79" s="51">
        <v>0.10074990310014301</v>
      </c>
      <c r="X79" s="51">
        <v>7</v>
      </c>
      <c r="Y79" s="51">
        <v>60.999999999999901</v>
      </c>
      <c r="Z79" s="51">
        <v>27.9</v>
      </c>
      <c r="AA79" s="51">
        <v>2.8999999999999901E-2</v>
      </c>
      <c r="AB79" s="51">
        <v>1.0986122886681</v>
      </c>
      <c r="AC79" s="51">
        <v>4.1271343850450899</v>
      </c>
      <c r="AD79" s="51">
        <v>2.07944154167983</v>
      </c>
      <c r="AE79" s="51">
        <v>3.3638415951183802</v>
      </c>
      <c r="AF79" s="51">
        <v>2.8587456851912399E-2</v>
      </c>
      <c r="AG79" s="51" t="b">
        <f>AND("Zeta" ='Keto-CTA with change &amp;Ln-Values'!$B98)</f>
        <v>0</v>
      </c>
      <c r="AH79" s="51" t="b">
        <f t="shared" si="1"/>
        <v>1</v>
      </c>
    </row>
    <row r="80" spans="1:34" x14ac:dyDescent="0.3">
      <c r="A80" s="51">
        <v>70</v>
      </c>
      <c r="B80" s="52" t="s">
        <v>41</v>
      </c>
      <c r="C80" s="51">
        <v>2</v>
      </c>
      <c r="D80" s="51">
        <v>2</v>
      </c>
      <c r="E80" s="51">
        <v>10</v>
      </c>
      <c r="F80" s="51">
        <v>18</v>
      </c>
      <c r="G80" s="51">
        <v>52.1</v>
      </c>
      <c r="H80" s="51">
        <v>62.5</v>
      </c>
      <c r="I80" s="51">
        <v>4</v>
      </c>
      <c r="J80" s="51">
        <v>5.4</v>
      </c>
      <c r="K80" s="51">
        <v>1.4999999999999999E-2</v>
      </c>
      <c r="L80" s="51">
        <v>1.4999999999999999E-2</v>
      </c>
      <c r="M80" s="51">
        <v>1.0986122886681</v>
      </c>
      <c r="N80" s="51">
        <v>1.0986122886681</v>
      </c>
      <c r="O80" s="51">
        <v>2.3978952727983698</v>
      </c>
      <c r="P80" s="51">
        <v>2.9444389791664398</v>
      </c>
      <c r="Q80" s="51">
        <v>3.9721769282478898</v>
      </c>
      <c r="R80" s="51">
        <v>4.1510399058986396</v>
      </c>
      <c r="S80" s="51">
        <v>1.4999999999999999E-2</v>
      </c>
      <c r="T80" s="51">
        <v>1.6094379124341001</v>
      </c>
      <c r="U80" s="51">
        <v>1.85629799036562</v>
      </c>
      <c r="V80" s="51">
        <v>1.48886124937505E-2</v>
      </c>
      <c r="W80" s="51">
        <v>1.48886124937505E-2</v>
      </c>
      <c r="X80" s="51">
        <v>8</v>
      </c>
      <c r="Y80" s="51">
        <v>10.399999999999901</v>
      </c>
      <c r="Z80" s="51">
        <v>1.4</v>
      </c>
      <c r="AA80" s="51">
        <v>0</v>
      </c>
      <c r="AB80" s="51">
        <v>0</v>
      </c>
      <c r="AC80" s="51">
        <v>2.43361335540044</v>
      </c>
      <c r="AD80" s="51">
        <v>2.1972245773362098</v>
      </c>
      <c r="AE80" s="51">
        <v>0.87546873735389996</v>
      </c>
      <c r="AF80" s="51">
        <v>0</v>
      </c>
      <c r="AG80" s="51" t="b">
        <f>AND("Zeta" ='Keto-CTA with change &amp;Ln-Values'!$B71)</f>
        <v>0</v>
      </c>
      <c r="AH80" s="51" t="b">
        <f t="shared" si="1"/>
        <v>1</v>
      </c>
    </row>
    <row r="81" spans="1:34" x14ac:dyDescent="0.3">
      <c r="A81" s="51">
        <v>73</v>
      </c>
      <c r="B81" s="52" t="s">
        <v>41</v>
      </c>
      <c r="C81" s="51">
        <v>2</v>
      </c>
      <c r="D81" s="51">
        <v>3</v>
      </c>
      <c r="E81" s="51">
        <v>39</v>
      </c>
      <c r="F81" s="51">
        <v>49</v>
      </c>
      <c r="G81" s="51">
        <v>83.3</v>
      </c>
      <c r="H81" s="51">
        <v>97.7</v>
      </c>
      <c r="I81" s="51">
        <v>17.8</v>
      </c>
      <c r="J81" s="51">
        <v>20.6</v>
      </c>
      <c r="K81" s="51">
        <v>2.8000000000000001E-2</v>
      </c>
      <c r="L81" s="51">
        <v>3.9E-2</v>
      </c>
      <c r="M81" s="51">
        <v>1.0986122886681</v>
      </c>
      <c r="N81" s="51">
        <v>1.3862943611198899</v>
      </c>
      <c r="O81" s="51">
        <v>3.68887945411393</v>
      </c>
      <c r="P81" s="51">
        <v>3.9120230054281402</v>
      </c>
      <c r="Q81" s="51">
        <v>4.4343818650077997</v>
      </c>
      <c r="R81" s="51">
        <v>4.5920849464394298</v>
      </c>
      <c r="S81" s="51">
        <v>2.8000000000000001E-2</v>
      </c>
      <c r="T81" s="51">
        <v>2.9338568698359002</v>
      </c>
      <c r="U81" s="51">
        <v>3.0726933146901101</v>
      </c>
      <c r="V81" s="51">
        <v>2.7615167032973301E-2</v>
      </c>
      <c r="W81" s="51">
        <v>3.8258712117090199E-2</v>
      </c>
      <c r="X81" s="51">
        <v>10</v>
      </c>
      <c r="Y81" s="51">
        <v>14.4</v>
      </c>
      <c r="Z81" s="51">
        <v>2.8</v>
      </c>
      <c r="AA81" s="51">
        <v>1.0999999999999999E-2</v>
      </c>
      <c r="AB81" s="51">
        <v>0.69314718055994495</v>
      </c>
      <c r="AC81" s="51">
        <v>2.7343675094195801</v>
      </c>
      <c r="AD81" s="51">
        <v>2.3978952727983698</v>
      </c>
      <c r="AE81" s="51">
        <v>1.33500106673234</v>
      </c>
      <c r="AF81" s="51">
        <v>1.0939940038334201E-2</v>
      </c>
      <c r="AG81" s="51" t="b">
        <f>AND("Zeta" ='Keto-CTA with change &amp;Ln-Values'!$B74)</f>
        <v>0</v>
      </c>
      <c r="AH81" s="51" t="b">
        <f t="shared" si="1"/>
        <v>1</v>
      </c>
    </row>
    <row r="82" spans="1:34" x14ac:dyDescent="0.3">
      <c r="A82" s="51">
        <v>75</v>
      </c>
      <c r="B82" s="52" t="s">
        <v>41</v>
      </c>
      <c r="C82" s="51">
        <v>2</v>
      </c>
      <c r="D82" s="51">
        <v>3</v>
      </c>
      <c r="E82" s="51">
        <v>21</v>
      </c>
      <c r="F82" s="51">
        <v>31</v>
      </c>
      <c r="G82" s="51">
        <v>106.8</v>
      </c>
      <c r="H82" s="51">
        <v>116.5</v>
      </c>
      <c r="I82" s="51">
        <v>10.199999999999999</v>
      </c>
      <c r="J82" s="51">
        <v>13.1</v>
      </c>
      <c r="K82" s="51">
        <v>4.3999999999999997E-2</v>
      </c>
      <c r="L82" s="51">
        <v>0.05</v>
      </c>
      <c r="M82" s="51">
        <v>1.0986122886681</v>
      </c>
      <c r="N82" s="51">
        <v>1.3862943611198899</v>
      </c>
      <c r="O82" s="51">
        <v>3.0910424533583098</v>
      </c>
      <c r="P82" s="51">
        <v>3.4657359027997199</v>
      </c>
      <c r="Q82" s="51">
        <v>4.68027765847489</v>
      </c>
      <c r="R82" s="51">
        <v>4.76643833358421</v>
      </c>
      <c r="S82" s="51">
        <v>4.3999999999999997E-2</v>
      </c>
      <c r="T82" s="51">
        <v>2.4159137783010398</v>
      </c>
      <c r="U82" s="51">
        <v>2.6461747973841199</v>
      </c>
      <c r="V82" s="51">
        <v>4.3059489460446999E-2</v>
      </c>
      <c r="W82" s="51">
        <v>4.8790164169432E-2</v>
      </c>
      <c r="X82" s="51">
        <v>10</v>
      </c>
      <c r="Y82" s="51">
        <v>9.6999999999999993</v>
      </c>
      <c r="Z82" s="51">
        <v>2.9</v>
      </c>
      <c r="AA82" s="51">
        <v>6.0000000000000001E-3</v>
      </c>
      <c r="AB82" s="51">
        <v>0.69314718055994495</v>
      </c>
      <c r="AC82" s="51">
        <v>2.3702437414678599</v>
      </c>
      <c r="AD82" s="51">
        <v>2.3978952727983698</v>
      </c>
      <c r="AE82" s="51">
        <v>1.3609765531356</v>
      </c>
      <c r="AF82" s="51">
        <v>5.9820716775474602E-3</v>
      </c>
      <c r="AG82" s="51" t="b">
        <f>AND("Zeta" ='Keto-CTA with change &amp;Ln-Values'!$B76)</f>
        <v>0</v>
      </c>
      <c r="AH82" s="51" t="b">
        <f t="shared" si="1"/>
        <v>1</v>
      </c>
    </row>
    <row r="83" spans="1:34" x14ac:dyDescent="0.3">
      <c r="A83" s="51">
        <v>88</v>
      </c>
      <c r="B83" s="52" t="s">
        <v>42</v>
      </c>
      <c r="C83" s="51">
        <v>4</v>
      </c>
      <c r="D83" s="51">
        <v>10</v>
      </c>
      <c r="E83" s="51">
        <v>88</v>
      </c>
      <c r="F83" s="51">
        <v>100</v>
      </c>
      <c r="G83" s="51">
        <v>238.5</v>
      </c>
      <c r="H83" s="51">
        <v>307.3</v>
      </c>
      <c r="I83" s="51">
        <v>33.9</v>
      </c>
      <c r="J83" s="51">
        <v>38.299999999999997</v>
      </c>
      <c r="K83" s="51">
        <v>9.0999999999999998E-2</v>
      </c>
      <c r="L83" s="51">
        <v>0.106</v>
      </c>
      <c r="M83" s="51">
        <v>1.6094379124341001</v>
      </c>
      <c r="N83" s="51">
        <v>2.3978952727983698</v>
      </c>
      <c r="O83" s="51">
        <v>4.4886363697321396</v>
      </c>
      <c r="P83" s="51">
        <v>4.6151205168412597</v>
      </c>
      <c r="Q83" s="51">
        <v>5.4785534168509598</v>
      </c>
      <c r="R83" s="51">
        <v>5.7310733348921001</v>
      </c>
      <c r="S83" s="51">
        <v>9.0999999999999998E-2</v>
      </c>
      <c r="T83" s="51">
        <v>3.5524868292083802</v>
      </c>
      <c r="U83" s="51">
        <v>3.67122451887521</v>
      </c>
      <c r="V83" s="51">
        <v>8.7094706850933706E-2</v>
      </c>
      <c r="W83" s="51">
        <v>0.10074990310014301</v>
      </c>
      <c r="X83" s="51">
        <v>12</v>
      </c>
      <c r="Y83" s="51">
        <v>68.8</v>
      </c>
      <c r="Z83" s="51">
        <v>4.3999999999999897</v>
      </c>
      <c r="AA83" s="51">
        <v>1.4999999999999999E-2</v>
      </c>
      <c r="AB83" s="51">
        <v>1.9459101490553099</v>
      </c>
      <c r="AC83" s="51">
        <v>4.2456340097683203</v>
      </c>
      <c r="AD83" s="51">
        <v>2.5649493574615301</v>
      </c>
      <c r="AE83" s="51">
        <v>1.68639895357022</v>
      </c>
      <c r="AF83" s="51">
        <v>1.48886124937505E-2</v>
      </c>
      <c r="AG83" s="51" t="b">
        <f>AND("Zeta" ='Keto-CTA with change &amp;Ln-Values'!$B89)</f>
        <v>0</v>
      </c>
      <c r="AH83" s="51" t="b">
        <f t="shared" si="1"/>
        <v>1</v>
      </c>
    </row>
    <row r="84" spans="1:34" x14ac:dyDescent="0.3">
      <c r="A84" s="51">
        <v>90</v>
      </c>
      <c r="B84" s="52" t="s">
        <v>42</v>
      </c>
      <c r="C84" s="51">
        <v>5</v>
      </c>
      <c r="D84" s="51">
        <v>6</v>
      </c>
      <c r="E84" s="51">
        <v>388</v>
      </c>
      <c r="F84" s="51">
        <v>400</v>
      </c>
      <c r="G84" s="51">
        <v>147.19999999999999</v>
      </c>
      <c r="H84" s="51">
        <v>194.8</v>
      </c>
      <c r="I84" s="51">
        <v>143.69999999999999</v>
      </c>
      <c r="J84" s="51">
        <v>177.2</v>
      </c>
      <c r="K84" s="51">
        <v>0.1</v>
      </c>
      <c r="L84" s="51">
        <v>0.1</v>
      </c>
      <c r="M84" s="51">
        <v>1.7917594692280501</v>
      </c>
      <c r="N84" s="51">
        <v>1.9459101490553099</v>
      </c>
      <c r="O84" s="51">
        <v>5.9635793436184397</v>
      </c>
      <c r="P84" s="51">
        <v>5.9939614273065596</v>
      </c>
      <c r="Q84" s="51">
        <v>4.9985627128619798</v>
      </c>
      <c r="R84" s="51">
        <v>5.2770937300964098</v>
      </c>
      <c r="S84" s="51">
        <v>0.1</v>
      </c>
      <c r="T84" s="51">
        <v>4.97466263363743</v>
      </c>
      <c r="U84" s="51">
        <v>5.1829065150367004</v>
      </c>
      <c r="V84" s="51">
        <v>9.5310179804324893E-2</v>
      </c>
      <c r="W84" s="51">
        <v>9.5310179804324893E-2</v>
      </c>
      <c r="X84" s="51">
        <v>12</v>
      </c>
      <c r="Y84" s="51">
        <v>47.6</v>
      </c>
      <c r="Z84" s="51">
        <v>33.5</v>
      </c>
      <c r="AA84" s="51">
        <v>0</v>
      </c>
      <c r="AB84" s="51">
        <v>0.69314718055994495</v>
      </c>
      <c r="AC84" s="51">
        <v>3.8836235309064402</v>
      </c>
      <c r="AD84" s="51">
        <v>2.5649493574615301</v>
      </c>
      <c r="AE84" s="51">
        <v>3.5409593240373098</v>
      </c>
      <c r="AF84" s="51">
        <v>0</v>
      </c>
      <c r="AG84" s="51" t="b">
        <f>AND("Zeta" ='Keto-CTA with change &amp;Ln-Values'!$B91)</f>
        <v>0</v>
      </c>
      <c r="AH84" s="51" t="b">
        <f t="shared" si="1"/>
        <v>1</v>
      </c>
    </row>
    <row r="85" spans="1:34" x14ac:dyDescent="0.3">
      <c r="A85" s="51">
        <v>62</v>
      </c>
      <c r="B85" s="52" t="s">
        <v>42</v>
      </c>
      <c r="C85" s="51">
        <v>1</v>
      </c>
      <c r="D85" s="51">
        <v>1</v>
      </c>
      <c r="E85" s="51">
        <v>27</v>
      </c>
      <c r="F85" s="51">
        <v>41</v>
      </c>
      <c r="G85" s="51">
        <v>45.3</v>
      </c>
      <c r="H85" s="51">
        <v>51.6</v>
      </c>
      <c r="I85" s="51">
        <v>10.7</v>
      </c>
      <c r="J85" s="51">
        <v>15.2</v>
      </c>
      <c r="K85" s="51">
        <v>2.1999999999999999E-2</v>
      </c>
      <c r="L85" s="51">
        <v>2.5999999999999999E-2</v>
      </c>
      <c r="M85" s="51">
        <v>0.69314718055994495</v>
      </c>
      <c r="N85" s="51">
        <v>0.69314718055994495</v>
      </c>
      <c r="O85" s="51">
        <v>3.3322045101751998</v>
      </c>
      <c r="P85" s="51">
        <v>3.73766961828336</v>
      </c>
      <c r="Q85" s="51">
        <v>3.8351419610921802</v>
      </c>
      <c r="R85" s="51">
        <v>3.9627161197436598</v>
      </c>
      <c r="S85" s="51">
        <v>2.1999999999999999E-2</v>
      </c>
      <c r="T85" s="51">
        <v>2.45958884180371</v>
      </c>
      <c r="U85" s="51">
        <v>2.7850112422383302</v>
      </c>
      <c r="V85" s="51">
        <v>2.1761491781512699E-2</v>
      </c>
      <c r="W85" s="51">
        <v>2.5667746748577799E-2</v>
      </c>
      <c r="X85" s="51">
        <v>14</v>
      </c>
      <c r="Y85" s="51">
        <v>6.3</v>
      </c>
      <c r="Z85" s="51">
        <v>4.5</v>
      </c>
      <c r="AA85" s="51">
        <v>4.0000000000000001E-3</v>
      </c>
      <c r="AB85" s="51">
        <v>0</v>
      </c>
      <c r="AC85" s="51">
        <v>1.9878743481543399</v>
      </c>
      <c r="AD85" s="51">
        <v>2.7080502011022101</v>
      </c>
      <c r="AE85" s="51">
        <v>1.7047480922384199</v>
      </c>
      <c r="AF85" s="51">
        <v>3.9920212695374498E-3</v>
      </c>
      <c r="AG85" s="51" t="b">
        <f>AND("Zeta" ='Keto-CTA with change &amp;Ln-Values'!$B63)</f>
        <v>0</v>
      </c>
      <c r="AH85" s="51" t="b">
        <f t="shared" si="1"/>
        <v>1</v>
      </c>
    </row>
    <row r="86" spans="1:34" x14ac:dyDescent="0.3">
      <c r="A86" s="51">
        <v>78</v>
      </c>
      <c r="B86" s="52" t="s">
        <v>42</v>
      </c>
      <c r="C86" s="51">
        <v>3</v>
      </c>
      <c r="D86" s="51">
        <v>4</v>
      </c>
      <c r="E86" s="51">
        <v>81</v>
      </c>
      <c r="F86" s="51">
        <v>97</v>
      </c>
      <c r="G86" s="51">
        <v>82.4</v>
      </c>
      <c r="H86" s="51">
        <v>168.4</v>
      </c>
      <c r="I86" s="51">
        <v>21.5</v>
      </c>
      <c r="J86" s="51">
        <v>29.9</v>
      </c>
      <c r="K86" s="51">
        <v>3.2000000000000001E-2</v>
      </c>
      <c r="L86" s="51">
        <v>5.6000000000000001E-2</v>
      </c>
      <c r="M86" s="51">
        <v>1.3862943611198899</v>
      </c>
      <c r="N86" s="51">
        <v>1.6094379124341001</v>
      </c>
      <c r="O86" s="51">
        <v>4.4067192472642498</v>
      </c>
      <c r="P86" s="51">
        <v>4.5849674786705696</v>
      </c>
      <c r="Q86" s="51">
        <v>4.4236483093647001</v>
      </c>
      <c r="R86" s="51">
        <v>5.1322627822179498</v>
      </c>
      <c r="S86" s="51">
        <v>3.2000000000000001E-2</v>
      </c>
      <c r="T86" s="51">
        <v>3.1135153092103698</v>
      </c>
      <c r="U86" s="51">
        <v>3.4307561839036902</v>
      </c>
      <c r="V86" s="51">
        <v>3.1498667059371002E-2</v>
      </c>
      <c r="W86" s="51">
        <v>5.44881852840697E-2</v>
      </c>
      <c r="X86" s="51">
        <v>16</v>
      </c>
      <c r="Y86" s="51">
        <v>86</v>
      </c>
      <c r="Z86" s="51">
        <v>8.3999999999999897</v>
      </c>
      <c r="AA86" s="51">
        <v>2.4E-2</v>
      </c>
      <c r="AB86" s="51">
        <v>0.69314718055994495</v>
      </c>
      <c r="AC86" s="51">
        <v>4.4659081186545802</v>
      </c>
      <c r="AD86" s="51">
        <v>2.8332133440562099</v>
      </c>
      <c r="AE86" s="51">
        <v>2.2407096892759499</v>
      </c>
      <c r="AF86" s="51">
        <v>2.3716526617315999E-2</v>
      </c>
      <c r="AG86" s="51" t="b">
        <f>AND("Zeta" ='Keto-CTA with change &amp;Ln-Values'!$B79)</f>
        <v>0</v>
      </c>
      <c r="AH86" s="51" t="b">
        <f t="shared" si="1"/>
        <v>1</v>
      </c>
    </row>
    <row r="87" spans="1:34" x14ac:dyDescent="0.3">
      <c r="A87" s="51">
        <v>84</v>
      </c>
      <c r="B87" s="52" t="s">
        <v>42</v>
      </c>
      <c r="C87" s="51">
        <v>4</v>
      </c>
      <c r="D87" s="51">
        <v>5</v>
      </c>
      <c r="E87" s="51">
        <v>17</v>
      </c>
      <c r="F87" s="51">
        <v>35</v>
      </c>
      <c r="G87" s="51">
        <v>58.9</v>
      </c>
      <c r="H87" s="51">
        <v>76.400000000000006</v>
      </c>
      <c r="I87" s="51">
        <v>12.5</v>
      </c>
      <c r="J87" s="51">
        <v>18</v>
      </c>
      <c r="K87" s="51">
        <v>2.8000000000000001E-2</v>
      </c>
      <c r="L87" s="51">
        <v>3.9E-2</v>
      </c>
      <c r="M87" s="51">
        <v>1.6094379124341001</v>
      </c>
      <c r="N87" s="51">
        <v>1.7917594692280501</v>
      </c>
      <c r="O87" s="51">
        <v>2.8903717578961601</v>
      </c>
      <c r="P87" s="51">
        <v>3.5835189384561099</v>
      </c>
      <c r="Q87" s="51">
        <v>4.0926765051213998</v>
      </c>
      <c r="R87" s="51">
        <v>4.3489867805956797</v>
      </c>
      <c r="S87" s="51">
        <v>2.8000000000000001E-2</v>
      </c>
      <c r="T87" s="51">
        <v>2.6026896854443802</v>
      </c>
      <c r="U87" s="51">
        <v>2.9444389791664398</v>
      </c>
      <c r="V87" s="51">
        <v>2.7615167032973301E-2</v>
      </c>
      <c r="W87" s="51">
        <v>3.8258712117090199E-2</v>
      </c>
      <c r="X87" s="51">
        <v>18</v>
      </c>
      <c r="Y87" s="51">
        <v>17.5</v>
      </c>
      <c r="Z87" s="51">
        <v>5.5</v>
      </c>
      <c r="AA87" s="51">
        <v>1.0999999999999999E-2</v>
      </c>
      <c r="AB87" s="51">
        <v>0.69314718055994495</v>
      </c>
      <c r="AC87" s="51">
        <v>2.9177707320842701</v>
      </c>
      <c r="AD87" s="51">
        <v>2.9444389791664398</v>
      </c>
      <c r="AE87" s="51">
        <v>1.87180217690159</v>
      </c>
      <c r="AF87" s="51">
        <v>1.0939940038334201E-2</v>
      </c>
      <c r="AG87" s="51" t="b">
        <f>AND("Zeta" ='Keto-CTA with change &amp;Ln-Values'!$B85)</f>
        <v>0</v>
      </c>
      <c r="AH87" s="51" t="b">
        <f t="shared" si="1"/>
        <v>1</v>
      </c>
    </row>
    <row r="88" spans="1:34" x14ac:dyDescent="0.3">
      <c r="A88" s="51">
        <v>95</v>
      </c>
      <c r="B88" s="52" t="s">
        <v>39</v>
      </c>
      <c r="C88" s="51">
        <v>8</v>
      </c>
      <c r="D88" s="51">
        <v>7</v>
      </c>
      <c r="E88" s="51">
        <v>175</v>
      </c>
      <c r="F88" s="51">
        <v>193</v>
      </c>
      <c r="G88" s="51">
        <v>73.400000000000006</v>
      </c>
      <c r="H88" s="51">
        <v>92.7</v>
      </c>
      <c r="I88" s="51">
        <v>76.2</v>
      </c>
      <c r="J88" s="51">
        <v>88.3</v>
      </c>
      <c r="K88" s="51">
        <v>7.2999999999999995E-2</v>
      </c>
      <c r="L88" s="51">
        <v>8.6999999999999994E-2</v>
      </c>
      <c r="M88" s="51">
        <v>2.1972245773362098</v>
      </c>
      <c r="N88" s="51">
        <v>2.07944154167983</v>
      </c>
      <c r="O88" s="51">
        <v>5.1704839950381496</v>
      </c>
      <c r="P88" s="51">
        <v>5.2678581590633202</v>
      </c>
      <c r="Q88" s="51">
        <v>4.3094559418390403</v>
      </c>
      <c r="R88" s="51">
        <v>4.5400981892443699</v>
      </c>
      <c r="S88" s="51">
        <v>7.2999999999999995E-2</v>
      </c>
      <c r="T88" s="51">
        <v>4.3463994570307296</v>
      </c>
      <c r="U88" s="51">
        <v>4.4920014878824501</v>
      </c>
      <c r="V88" s="51">
        <v>7.0458463648561301E-2</v>
      </c>
      <c r="W88" s="51" t="s">
        <v>98</v>
      </c>
      <c r="X88" s="51">
        <v>18</v>
      </c>
      <c r="Y88" s="51">
        <v>19.299999999999901</v>
      </c>
      <c r="Z88" s="51">
        <v>12.0999999999999</v>
      </c>
      <c r="AA88" s="51">
        <v>1.39999999999999E-2</v>
      </c>
      <c r="AB88" s="51">
        <v>0.69314718055994495</v>
      </c>
      <c r="AC88" s="51">
        <v>3.0106208860477399</v>
      </c>
      <c r="AD88" s="51">
        <v>2.9444389791664398</v>
      </c>
      <c r="AE88" s="51">
        <v>2.5726122302070999</v>
      </c>
      <c r="AF88" s="51">
        <v>1.3902905168991401E-2</v>
      </c>
      <c r="AG88" s="51" t="b">
        <f>AND("Zeta" ='Keto-CTA with change &amp;Ln-Values'!$B96)</f>
        <v>0</v>
      </c>
      <c r="AH88" s="51" t="b">
        <f t="shared" si="1"/>
        <v>1</v>
      </c>
    </row>
    <row r="89" spans="1:34" x14ac:dyDescent="0.3">
      <c r="A89" s="51">
        <v>82</v>
      </c>
      <c r="B89" s="52" t="s">
        <v>42</v>
      </c>
      <c r="C89" s="51">
        <v>4</v>
      </c>
      <c r="D89" s="51">
        <v>4</v>
      </c>
      <c r="E89" s="51">
        <v>191</v>
      </c>
      <c r="F89" s="51">
        <v>218</v>
      </c>
      <c r="G89" s="51">
        <v>233.8</v>
      </c>
      <c r="H89" s="51">
        <v>345.8</v>
      </c>
      <c r="I89" s="51">
        <v>63.9</v>
      </c>
      <c r="J89" s="51">
        <v>82.6</v>
      </c>
      <c r="K89" s="51">
        <v>9.6000000000000002E-2</v>
      </c>
      <c r="L89" s="51">
        <v>0.122</v>
      </c>
      <c r="M89" s="51">
        <v>1.6094379124341001</v>
      </c>
      <c r="N89" s="51">
        <v>1.6094379124341001</v>
      </c>
      <c r="O89" s="51">
        <v>5.2574953720277797</v>
      </c>
      <c r="P89" s="51">
        <v>5.3890717298165001</v>
      </c>
      <c r="Q89" s="51">
        <v>5.4587340879539399</v>
      </c>
      <c r="R89" s="51">
        <v>5.8487482449063801</v>
      </c>
      <c r="S89" s="51">
        <v>9.6000000000000002E-2</v>
      </c>
      <c r="T89" s="51">
        <v>4.17284762371004</v>
      </c>
      <c r="U89" s="51">
        <v>4.4260435200906496</v>
      </c>
      <c r="V89" s="51">
        <v>9.1667188525823798E-2</v>
      </c>
      <c r="W89" s="51">
        <v>0.11511280710050401</v>
      </c>
      <c r="X89" s="51">
        <v>27</v>
      </c>
      <c r="Y89" s="51">
        <v>112</v>
      </c>
      <c r="Z89" s="51">
        <v>18.6999999999999</v>
      </c>
      <c r="AA89" s="51">
        <v>2.5999999999999902E-2</v>
      </c>
      <c r="AB89" s="51">
        <v>0</v>
      </c>
      <c r="AC89" s="51">
        <v>4.7273878187123399</v>
      </c>
      <c r="AD89" s="51">
        <v>3.3322045101751998</v>
      </c>
      <c r="AE89" s="51">
        <v>2.9806186357439399</v>
      </c>
      <c r="AF89" s="51">
        <v>2.5667746748577799E-2</v>
      </c>
      <c r="AG89" s="51" t="b">
        <f>AND("Zeta" ='Keto-CTA with change &amp;Ln-Values'!$B83)</f>
        <v>0</v>
      </c>
      <c r="AH89" s="51" t="b">
        <f t="shared" si="1"/>
        <v>1</v>
      </c>
    </row>
    <row r="90" spans="1:34" x14ac:dyDescent="0.3">
      <c r="A90" s="51">
        <v>83</v>
      </c>
      <c r="B90" s="52" t="s">
        <v>42</v>
      </c>
      <c r="C90" s="51">
        <v>4</v>
      </c>
      <c r="D90" s="51">
        <v>5</v>
      </c>
      <c r="E90" s="51">
        <v>217</v>
      </c>
      <c r="F90" s="51">
        <v>245</v>
      </c>
      <c r="G90" s="51">
        <v>169</v>
      </c>
      <c r="H90" s="51">
        <v>182.2</v>
      </c>
      <c r="I90" s="51">
        <v>73.8</v>
      </c>
      <c r="J90" s="51">
        <v>88.2</v>
      </c>
      <c r="K90" s="51">
        <v>7.1999999999999995E-2</v>
      </c>
      <c r="L90" s="51">
        <v>7.6999999999999999E-2</v>
      </c>
      <c r="M90" s="51">
        <v>1.6094379124341001</v>
      </c>
      <c r="N90" s="51">
        <v>1.7917594692280501</v>
      </c>
      <c r="O90" s="51">
        <v>5.38449506278908</v>
      </c>
      <c r="P90" s="51">
        <v>5.5053315359323598</v>
      </c>
      <c r="Q90" s="51">
        <v>5.1357984370502603</v>
      </c>
      <c r="R90" s="51">
        <v>5.2105784522400302</v>
      </c>
      <c r="S90" s="51">
        <v>7.1999999999999995E-2</v>
      </c>
      <c r="T90" s="51">
        <v>4.31481788498043</v>
      </c>
      <c r="U90" s="51">
        <v>4.4908810395859602</v>
      </c>
      <c r="V90" s="51">
        <v>6.9526062648610304E-2</v>
      </c>
      <c r="W90" s="51">
        <v>7.4179398174251399E-2</v>
      </c>
      <c r="X90" s="51">
        <v>28</v>
      </c>
      <c r="Y90" s="51">
        <v>13.1999999999999</v>
      </c>
      <c r="Z90" s="51">
        <v>14.4</v>
      </c>
      <c r="AA90" s="51">
        <v>5.0000000000000001E-3</v>
      </c>
      <c r="AB90" s="51">
        <v>0.69314718055994495</v>
      </c>
      <c r="AC90" s="51">
        <v>2.6532419646072101</v>
      </c>
      <c r="AD90" s="51">
        <v>3.3672958299864701</v>
      </c>
      <c r="AE90" s="51">
        <v>2.7343675094195801</v>
      </c>
      <c r="AF90" s="51">
        <v>4.9875415110389601E-3</v>
      </c>
      <c r="AG90" s="51" t="b">
        <f>AND("Zeta" ='Keto-CTA with change &amp;Ln-Values'!$B84)</f>
        <v>0</v>
      </c>
      <c r="AH90" s="51" t="b">
        <f t="shared" si="1"/>
        <v>1</v>
      </c>
    </row>
    <row r="91" spans="1:34" x14ac:dyDescent="0.3">
      <c r="A91" s="51">
        <v>80</v>
      </c>
      <c r="B91" s="52" t="s">
        <v>42</v>
      </c>
      <c r="C91" s="51">
        <v>3</v>
      </c>
      <c r="D91" s="51">
        <v>4</v>
      </c>
      <c r="E91" s="51">
        <v>66</v>
      </c>
      <c r="F91" s="51">
        <v>97</v>
      </c>
      <c r="G91" s="51">
        <v>78</v>
      </c>
      <c r="H91" s="51">
        <v>89.6</v>
      </c>
      <c r="I91" s="51">
        <v>24</v>
      </c>
      <c r="J91" s="51">
        <v>28.2</v>
      </c>
      <c r="K91" s="51">
        <v>5.1999999999999998E-2</v>
      </c>
      <c r="L91" s="51">
        <v>7.8E-2</v>
      </c>
      <c r="M91" s="51">
        <v>1.3862943611198899</v>
      </c>
      <c r="N91" s="51">
        <v>1.6094379124341001</v>
      </c>
      <c r="O91" s="51">
        <v>4.2046926193909604</v>
      </c>
      <c r="P91" s="51">
        <v>4.5849674786705696</v>
      </c>
      <c r="Q91" s="51">
        <v>4.3694478524670197</v>
      </c>
      <c r="R91" s="51">
        <v>4.5064542130489302</v>
      </c>
      <c r="S91" s="51">
        <v>5.1999999999999998E-2</v>
      </c>
      <c r="T91" s="51">
        <v>3.2188758248682001</v>
      </c>
      <c r="U91" s="51">
        <v>3.3741687092742301</v>
      </c>
      <c r="V91" s="51">
        <v>5.0693114315518102E-2</v>
      </c>
      <c r="W91" s="51">
        <v>7.5107472486805396E-2</v>
      </c>
      <c r="X91" s="51">
        <v>31</v>
      </c>
      <c r="Y91" s="51">
        <v>11.5999999999999</v>
      </c>
      <c r="Z91" s="51">
        <v>4.1999999999999904</v>
      </c>
      <c r="AA91" s="51">
        <v>2.5999999999999999E-2</v>
      </c>
      <c r="AB91" s="51">
        <v>0.69314718055994495</v>
      </c>
      <c r="AC91" s="51">
        <v>2.5336968139574298</v>
      </c>
      <c r="AD91" s="51">
        <v>3.4657359027997199</v>
      </c>
      <c r="AE91" s="51">
        <v>1.6486586255873801</v>
      </c>
      <c r="AF91" s="51">
        <v>2.5667746748577799E-2</v>
      </c>
      <c r="AG91" s="51" t="b">
        <f>AND("Zeta" ='Keto-CTA with change &amp;Ln-Values'!$B81)</f>
        <v>0</v>
      </c>
      <c r="AH91" s="51" t="b">
        <f t="shared" si="1"/>
        <v>1</v>
      </c>
    </row>
    <row r="92" spans="1:34" x14ac:dyDescent="0.3">
      <c r="A92" s="51">
        <v>85</v>
      </c>
      <c r="B92" s="52" t="s">
        <v>42</v>
      </c>
      <c r="C92" s="51">
        <v>4</v>
      </c>
      <c r="D92" s="51">
        <v>5</v>
      </c>
      <c r="E92" s="51">
        <v>222</v>
      </c>
      <c r="F92" s="51">
        <v>253</v>
      </c>
      <c r="G92" s="51">
        <v>244.9</v>
      </c>
      <c r="H92" s="51">
        <v>357.9</v>
      </c>
      <c r="I92" s="51">
        <v>77.400000000000006</v>
      </c>
      <c r="J92" s="51">
        <v>82.4</v>
      </c>
      <c r="K92" s="51">
        <v>6.8000000000000005E-2</v>
      </c>
      <c r="L92" s="51">
        <v>0.10100000000000001</v>
      </c>
      <c r="M92" s="51">
        <v>1.6094379124341001</v>
      </c>
      <c r="N92" s="51">
        <v>1.7917594692280501</v>
      </c>
      <c r="O92" s="51">
        <v>5.40717177146011</v>
      </c>
      <c r="P92" s="51">
        <v>5.5373342670185304</v>
      </c>
      <c r="Q92" s="51">
        <v>5.5049249492221399</v>
      </c>
      <c r="R92" s="51">
        <v>5.8830437981535599</v>
      </c>
      <c r="S92" s="51">
        <v>6.8000000000000005E-2</v>
      </c>
      <c r="T92" s="51">
        <v>4.3618239273563599</v>
      </c>
      <c r="U92" s="51">
        <v>4.4236483093647001</v>
      </c>
      <c r="V92" s="51">
        <v>6.5787740538003098E-2</v>
      </c>
      <c r="W92" s="51">
        <v>9.6218857740542896E-2</v>
      </c>
      <c r="X92" s="51">
        <v>31</v>
      </c>
      <c r="Y92" s="51">
        <v>112.99999999999901</v>
      </c>
      <c r="Z92" s="51">
        <v>5</v>
      </c>
      <c r="AA92" s="51">
        <v>3.3000000000000002E-2</v>
      </c>
      <c r="AB92" s="51">
        <v>0.69314718055994495</v>
      </c>
      <c r="AC92" s="51">
        <v>4.7361984483944903</v>
      </c>
      <c r="AD92" s="51">
        <v>3.4657359027997199</v>
      </c>
      <c r="AE92" s="51">
        <v>1.7917594692280501</v>
      </c>
      <c r="AF92" s="51">
        <v>3.2467190137501399E-2</v>
      </c>
      <c r="AG92" s="51" t="b">
        <f>AND("Zeta" ='Keto-CTA with change &amp;Ln-Values'!$B86)</f>
        <v>0</v>
      </c>
      <c r="AH92" s="51" t="b">
        <f t="shared" si="1"/>
        <v>1</v>
      </c>
    </row>
    <row r="93" spans="1:34" x14ac:dyDescent="0.3">
      <c r="A93" s="51">
        <v>93</v>
      </c>
      <c r="B93" s="52" t="s">
        <v>42</v>
      </c>
      <c r="C93" s="51">
        <v>7</v>
      </c>
      <c r="D93" s="51">
        <v>7</v>
      </c>
      <c r="E93" s="51">
        <v>199</v>
      </c>
      <c r="F93" s="51">
        <v>230</v>
      </c>
      <c r="G93" s="51">
        <v>290.8</v>
      </c>
      <c r="H93" s="51">
        <v>378.9</v>
      </c>
      <c r="I93" s="51">
        <v>88.9</v>
      </c>
      <c r="J93" s="51">
        <v>101.9</v>
      </c>
      <c r="K93" s="51">
        <v>0.13</v>
      </c>
      <c r="L93" s="51">
        <v>0.16400000000000001</v>
      </c>
      <c r="M93" s="51">
        <v>2.07944154167983</v>
      </c>
      <c r="N93" s="51">
        <v>2.07944154167983</v>
      </c>
      <c r="O93" s="51">
        <v>5.2983173665480301</v>
      </c>
      <c r="P93" s="51">
        <v>5.4424177105217897</v>
      </c>
      <c r="Q93" s="51">
        <v>5.6760686360886803</v>
      </c>
      <c r="R93" s="51">
        <v>5.9399080601935799</v>
      </c>
      <c r="S93" s="51">
        <v>0.13</v>
      </c>
      <c r="T93" s="51">
        <v>4.4986979414775696</v>
      </c>
      <c r="U93" s="51">
        <v>4.63375764284</v>
      </c>
      <c r="V93" s="51">
        <v>0.122217632724249</v>
      </c>
      <c r="W93" s="51">
        <v>0.151862349309246</v>
      </c>
      <c r="X93" s="51">
        <v>31</v>
      </c>
      <c r="Y93" s="51">
        <v>88.099999999999895</v>
      </c>
      <c r="Z93" s="51">
        <v>13</v>
      </c>
      <c r="AA93" s="51">
        <v>3.4000000000000002E-2</v>
      </c>
      <c r="AB93" s="51">
        <v>0</v>
      </c>
      <c r="AC93" s="51">
        <v>4.4897593344767603</v>
      </c>
      <c r="AD93" s="51">
        <v>3.4657359027997199</v>
      </c>
      <c r="AE93" s="51">
        <v>2.63905732961525</v>
      </c>
      <c r="AF93" s="51">
        <v>3.3434776086237399E-2</v>
      </c>
      <c r="AG93" s="51" t="b">
        <f>AND("Zeta" ='Keto-CTA with change &amp;Ln-Values'!$B94)</f>
        <v>0</v>
      </c>
      <c r="AH93" s="51" t="b">
        <f t="shared" si="1"/>
        <v>1</v>
      </c>
    </row>
    <row r="94" spans="1:34" x14ac:dyDescent="0.3">
      <c r="A94" s="51">
        <v>100</v>
      </c>
      <c r="B94" s="52" t="s">
        <v>42</v>
      </c>
      <c r="C94" s="51">
        <v>13</v>
      </c>
      <c r="D94" s="51">
        <v>14</v>
      </c>
      <c r="E94" s="51">
        <v>221</v>
      </c>
      <c r="F94" s="51">
        <v>256</v>
      </c>
      <c r="G94" s="51">
        <v>450.6</v>
      </c>
      <c r="H94" s="51">
        <v>606.5</v>
      </c>
      <c r="I94" s="51">
        <v>70</v>
      </c>
      <c r="J94" s="51">
        <v>92.2</v>
      </c>
      <c r="K94" s="51">
        <v>0.14399999999999999</v>
      </c>
      <c r="L94" s="51">
        <v>0.189</v>
      </c>
      <c r="M94" s="51">
        <v>2.63905732961525</v>
      </c>
      <c r="N94" s="51">
        <v>2.7080502011022101</v>
      </c>
      <c r="O94" s="51">
        <v>5.4026773818722704</v>
      </c>
      <c r="P94" s="51">
        <v>5.5490760848952201</v>
      </c>
      <c r="Q94" s="51">
        <v>6.1127968322755004</v>
      </c>
      <c r="R94" s="51">
        <v>6.4093521752146998</v>
      </c>
      <c r="S94" s="51">
        <v>0.14399999999999999</v>
      </c>
      <c r="T94" s="51">
        <v>4.2626798770413101</v>
      </c>
      <c r="U94" s="51">
        <v>4.5347477216915397</v>
      </c>
      <c r="V94" s="51">
        <v>0.13453089295760601</v>
      </c>
      <c r="W94" s="51">
        <v>0.173112617708644</v>
      </c>
      <c r="X94" s="51">
        <v>35</v>
      </c>
      <c r="Y94" s="51">
        <v>155.89999999999901</v>
      </c>
      <c r="Z94" s="51">
        <v>22.2</v>
      </c>
      <c r="AA94" s="51">
        <v>4.4999999999999998E-2</v>
      </c>
      <c r="AB94" s="51">
        <v>0.69314718055994495</v>
      </c>
      <c r="AC94" s="51">
        <v>5.0556086597389802</v>
      </c>
      <c r="AD94" s="51">
        <v>3.5835189384561099</v>
      </c>
      <c r="AE94" s="51">
        <v>3.14415227867226</v>
      </c>
      <c r="AF94" s="51">
        <v>4.4016885416774197E-2</v>
      </c>
      <c r="AG94" s="51" t="b">
        <f>AND("Zeta" ='Keto-CTA with change &amp;Ln-Values'!$B101)</f>
        <v>0</v>
      </c>
      <c r="AH94" s="51" t="b">
        <f t="shared" si="1"/>
        <v>1</v>
      </c>
    </row>
    <row r="95" spans="1:34" x14ac:dyDescent="0.3">
      <c r="A95" s="51">
        <v>76</v>
      </c>
      <c r="B95" s="52" t="s">
        <v>42</v>
      </c>
      <c r="C95" s="51">
        <v>3</v>
      </c>
      <c r="D95" s="51">
        <v>3</v>
      </c>
      <c r="E95" s="51">
        <v>69</v>
      </c>
      <c r="F95" s="51">
        <v>105</v>
      </c>
      <c r="G95" s="51">
        <v>53.4</v>
      </c>
      <c r="H95" s="51">
        <v>112.2</v>
      </c>
      <c r="I95" s="51">
        <v>33.200000000000003</v>
      </c>
      <c r="J95" s="51">
        <v>43.1</v>
      </c>
      <c r="K95" s="51">
        <v>3.4000000000000002E-2</v>
      </c>
      <c r="L95" s="51">
        <v>5.6000000000000001E-2</v>
      </c>
      <c r="M95" s="51">
        <v>1.3862943611198899</v>
      </c>
      <c r="N95" s="51">
        <v>1.3862943611198899</v>
      </c>
      <c r="O95" s="51">
        <v>4.2484952420493496</v>
      </c>
      <c r="P95" s="51">
        <v>4.6634390941120598</v>
      </c>
      <c r="Q95" s="51">
        <v>3.9963641538618901</v>
      </c>
      <c r="R95" s="51">
        <v>4.7291561657690799</v>
      </c>
      <c r="S95" s="51">
        <v>3.4000000000000002E-2</v>
      </c>
      <c r="T95" s="51">
        <v>3.53222564406855</v>
      </c>
      <c r="U95" s="51">
        <v>3.7864597824528001</v>
      </c>
      <c r="V95" s="51">
        <v>3.3434776086237399E-2</v>
      </c>
      <c r="W95" s="51">
        <v>5.44881852840697E-2</v>
      </c>
      <c r="X95" s="51">
        <v>36</v>
      </c>
      <c r="Y95" s="51">
        <v>58.8</v>
      </c>
      <c r="Z95" s="51">
        <v>9.8999999999999897</v>
      </c>
      <c r="AA95" s="51">
        <v>2.1999999999999999E-2</v>
      </c>
      <c r="AB95" s="51">
        <v>0</v>
      </c>
      <c r="AC95" s="51">
        <v>4.0910056609565801</v>
      </c>
      <c r="AD95" s="51">
        <v>3.6109179126442199</v>
      </c>
      <c r="AE95" s="51">
        <v>2.38876278923509</v>
      </c>
      <c r="AF95" s="51">
        <v>2.1761491781512699E-2</v>
      </c>
      <c r="AG95" s="51" t="b">
        <f>AND("Zeta" ='Keto-CTA with change &amp;Ln-Values'!$B77)</f>
        <v>0</v>
      </c>
      <c r="AH95" s="51" t="b">
        <f t="shared" si="1"/>
        <v>1</v>
      </c>
    </row>
    <row r="96" spans="1:34" x14ac:dyDescent="0.3">
      <c r="A96" s="51">
        <v>86</v>
      </c>
      <c r="B96" s="52" t="s">
        <v>42</v>
      </c>
      <c r="C96" s="51">
        <v>4</v>
      </c>
      <c r="D96" s="51">
        <v>6</v>
      </c>
      <c r="E96" s="51">
        <v>211</v>
      </c>
      <c r="F96" s="51">
        <v>254</v>
      </c>
      <c r="G96" s="51">
        <v>365.6</v>
      </c>
      <c r="H96" s="51">
        <v>428.5</v>
      </c>
      <c r="I96" s="51">
        <v>86</v>
      </c>
      <c r="J96" s="51">
        <v>119.9</v>
      </c>
      <c r="K96" s="51">
        <v>0.156</v>
      </c>
      <c r="L96" s="51">
        <v>0.2</v>
      </c>
      <c r="M96" s="51">
        <v>1.6094379124341001</v>
      </c>
      <c r="N96" s="51">
        <v>1.9459101490553099</v>
      </c>
      <c r="O96" s="51">
        <v>5.3565862746720097</v>
      </c>
      <c r="P96" s="51">
        <v>5.5412635451584196</v>
      </c>
      <c r="Q96" s="51">
        <v>5.9042713354055998</v>
      </c>
      <c r="R96" s="51">
        <v>6.0626217414243104</v>
      </c>
      <c r="S96" s="51">
        <v>0.156</v>
      </c>
      <c r="T96" s="51">
        <v>4.4659081186545802</v>
      </c>
      <c r="U96" s="51">
        <v>4.7949637576207396</v>
      </c>
      <c r="V96" s="51">
        <v>0.14496577025018501</v>
      </c>
      <c r="W96" s="51">
        <v>0.18232155679395401</v>
      </c>
      <c r="X96" s="51">
        <v>43</v>
      </c>
      <c r="Y96" s="51">
        <v>62.899999999999899</v>
      </c>
      <c r="Z96" s="51">
        <v>33.9</v>
      </c>
      <c r="AA96" s="51">
        <v>4.3999999999999997E-2</v>
      </c>
      <c r="AB96" s="51">
        <v>1.0986122886681</v>
      </c>
      <c r="AC96" s="51">
        <v>4.1573193613834798</v>
      </c>
      <c r="AD96" s="51">
        <v>3.7841896339182601</v>
      </c>
      <c r="AE96" s="51">
        <v>3.5524868292083802</v>
      </c>
      <c r="AF96" s="51">
        <v>4.3059489460446999E-2</v>
      </c>
      <c r="AG96" s="51" t="b">
        <f>AND("Zeta" ='Keto-CTA with change &amp;Ln-Values'!$B87)</f>
        <v>0</v>
      </c>
      <c r="AH96" s="51" t="b">
        <f t="shared" si="1"/>
        <v>1</v>
      </c>
    </row>
    <row r="97" spans="1:34" x14ac:dyDescent="0.3">
      <c r="A97" s="51">
        <v>79</v>
      </c>
      <c r="B97" s="52" t="s">
        <v>42</v>
      </c>
      <c r="C97" s="51">
        <v>3</v>
      </c>
      <c r="D97" s="51">
        <v>4</v>
      </c>
      <c r="E97" s="51">
        <v>53</v>
      </c>
      <c r="F97" s="51">
        <v>103</v>
      </c>
      <c r="G97" s="51">
        <v>130.5</v>
      </c>
      <c r="H97" s="51">
        <v>179</v>
      </c>
      <c r="I97" s="51">
        <v>19.600000000000001</v>
      </c>
      <c r="J97" s="51">
        <v>43.9</v>
      </c>
      <c r="K97" s="51">
        <v>4.8000000000000001E-2</v>
      </c>
      <c r="L97" s="51">
        <v>6.7000000000000004E-2</v>
      </c>
      <c r="M97" s="51">
        <v>1.3862943611198899</v>
      </c>
      <c r="N97" s="51">
        <v>1.6094379124341001</v>
      </c>
      <c r="O97" s="51">
        <v>3.9889840465642701</v>
      </c>
      <c r="P97" s="51">
        <v>4.6443908991413698</v>
      </c>
      <c r="Q97" s="51">
        <v>4.8790068516178096</v>
      </c>
      <c r="R97" s="51">
        <v>5.1929568508902104</v>
      </c>
      <c r="S97" s="51">
        <v>4.8000000000000001E-2</v>
      </c>
      <c r="T97" s="51">
        <v>3.02529107579553</v>
      </c>
      <c r="U97" s="51">
        <v>3.8044377947482002</v>
      </c>
      <c r="V97" s="51">
        <v>4.6883585898850402E-2</v>
      </c>
      <c r="W97" s="51">
        <v>6.4850972319616201E-2</v>
      </c>
      <c r="X97" s="51">
        <v>50</v>
      </c>
      <c r="Y97" s="51">
        <v>48.5</v>
      </c>
      <c r="Z97" s="51">
        <v>24.299999999999901</v>
      </c>
      <c r="AA97" s="51">
        <v>1.9E-2</v>
      </c>
      <c r="AB97" s="51">
        <v>0.69314718055994495</v>
      </c>
      <c r="AC97" s="51">
        <v>3.90197266957464</v>
      </c>
      <c r="AD97" s="51">
        <v>3.93182563272432</v>
      </c>
      <c r="AE97" s="51">
        <v>3.23080439573347</v>
      </c>
      <c r="AF97" s="51">
        <v>1.8821754240587601E-2</v>
      </c>
      <c r="AG97" s="51" t="b">
        <f>AND("Zeta" ='Keto-CTA with change &amp;Ln-Values'!$B80)</f>
        <v>0</v>
      </c>
      <c r="AH97" s="51" t="b">
        <f t="shared" si="1"/>
        <v>1</v>
      </c>
    </row>
    <row r="98" spans="1:34" x14ac:dyDescent="0.3">
      <c r="A98" s="51">
        <v>98</v>
      </c>
      <c r="B98" s="52" t="s">
        <v>42</v>
      </c>
      <c r="C98" s="51">
        <v>8</v>
      </c>
      <c r="D98" s="51">
        <v>12</v>
      </c>
      <c r="E98" s="51">
        <v>265</v>
      </c>
      <c r="F98" s="51">
        <v>322</v>
      </c>
      <c r="G98" s="51">
        <v>200.3</v>
      </c>
      <c r="H98" s="51">
        <v>275.10000000000002</v>
      </c>
      <c r="I98" s="51">
        <v>90.1</v>
      </c>
      <c r="J98" s="51">
        <v>106.1</v>
      </c>
      <c r="K98" s="51">
        <v>0.122</v>
      </c>
      <c r="L98" s="51">
        <v>0.14599999999999999</v>
      </c>
      <c r="M98" s="51">
        <v>2.1972245773362098</v>
      </c>
      <c r="N98" s="51">
        <v>2.5649493574615301</v>
      </c>
      <c r="O98" s="51">
        <v>5.5834963087816902</v>
      </c>
      <c r="P98" s="51">
        <v>5.7776523232226502</v>
      </c>
      <c r="Q98" s="51">
        <v>5.3047963326457399</v>
      </c>
      <c r="R98" s="51">
        <v>5.6207631189361003</v>
      </c>
      <c r="S98" s="51">
        <v>0.122</v>
      </c>
      <c r="T98" s="51">
        <v>4.5119578042659096</v>
      </c>
      <c r="U98" s="51">
        <v>4.6737629774537002</v>
      </c>
      <c r="V98" s="51">
        <v>0.11511280710050401</v>
      </c>
      <c r="W98" s="51">
        <v>0.136277618292547</v>
      </c>
      <c r="X98" s="51">
        <v>57</v>
      </c>
      <c r="Y98" s="51">
        <v>74.8</v>
      </c>
      <c r="Z98" s="51">
        <v>16</v>
      </c>
      <c r="AA98" s="51">
        <v>2.39999999999999E-2</v>
      </c>
      <c r="AB98" s="51">
        <v>1.6094379124341001</v>
      </c>
      <c r="AC98" s="51">
        <v>4.3280982926483196</v>
      </c>
      <c r="AD98" s="51">
        <v>4.0604430105464102</v>
      </c>
      <c r="AE98" s="51">
        <v>2.8332133440562099</v>
      </c>
      <c r="AF98" s="51">
        <v>2.3716526617315999E-2</v>
      </c>
      <c r="AG98" s="51" t="b">
        <f>AND("Zeta" ='Keto-CTA with change &amp;Ln-Values'!$B99)</f>
        <v>1</v>
      </c>
      <c r="AH98" s="51" t="b">
        <f t="shared" si="1"/>
        <v>1</v>
      </c>
    </row>
    <row r="99" spans="1:34" x14ac:dyDescent="0.3">
      <c r="A99" s="51">
        <v>94</v>
      </c>
      <c r="B99" s="52" t="s">
        <v>39</v>
      </c>
      <c r="C99" s="51">
        <v>8</v>
      </c>
      <c r="D99" s="51">
        <v>7</v>
      </c>
      <c r="E99" s="51">
        <v>291</v>
      </c>
      <c r="F99" s="51">
        <v>351</v>
      </c>
      <c r="G99" s="51">
        <v>174.9</v>
      </c>
      <c r="H99" s="51">
        <v>245</v>
      </c>
      <c r="I99" s="51">
        <v>117.6</v>
      </c>
      <c r="J99" s="51">
        <v>120.5</v>
      </c>
      <c r="K99" s="51">
        <v>9.5000000000000001E-2</v>
      </c>
      <c r="L99" s="51">
        <v>0.11600000000000001</v>
      </c>
      <c r="M99" s="51">
        <v>2.1972245773362098</v>
      </c>
      <c r="N99" s="51">
        <v>2.07944154167983</v>
      </c>
      <c r="O99" s="51">
        <v>5.67675380226828</v>
      </c>
      <c r="P99" s="51">
        <v>5.8636311755980897</v>
      </c>
      <c r="Q99" s="51">
        <v>5.1699156517435103</v>
      </c>
      <c r="R99" s="51">
        <v>5.5053315359323598</v>
      </c>
      <c r="S99" s="51">
        <v>9.5000000000000001E-2</v>
      </c>
      <c r="T99" s="51">
        <v>4.77575648656362</v>
      </c>
      <c r="U99" s="51">
        <v>4.7999142627806002</v>
      </c>
      <c r="V99" s="51">
        <v>9.0754363268464103E-2</v>
      </c>
      <c r="W99" s="51" t="s">
        <v>97</v>
      </c>
      <c r="X99" s="51">
        <v>60</v>
      </c>
      <c r="Y99" s="51">
        <v>70.099999999999994</v>
      </c>
      <c r="Z99" s="51">
        <v>2.9</v>
      </c>
      <c r="AA99" s="51">
        <v>2.1000000000000001E-2</v>
      </c>
      <c r="AB99" s="51">
        <v>0.69314718055994495</v>
      </c>
      <c r="AC99" s="51">
        <v>4.2640873368091903</v>
      </c>
      <c r="AD99" s="51">
        <v>4.1108738641733096</v>
      </c>
      <c r="AE99" s="51">
        <v>1.3609765531356</v>
      </c>
      <c r="AF99" s="51">
        <v>2.0782539182528401E-2</v>
      </c>
      <c r="AG99" s="51" t="b">
        <f>AND("Zeta" ='Keto-CTA with change &amp;Ln-Values'!$B95)</f>
        <v>0</v>
      </c>
      <c r="AH99" s="51" t="b">
        <f t="shared" si="1"/>
        <v>1</v>
      </c>
    </row>
    <row r="100" spans="1:34" x14ac:dyDescent="0.3">
      <c r="A100" s="51">
        <v>99</v>
      </c>
      <c r="B100" s="52" t="s">
        <v>42</v>
      </c>
      <c r="C100" s="51">
        <v>9</v>
      </c>
      <c r="D100" s="51">
        <v>9</v>
      </c>
      <c r="E100" s="51">
        <v>194</v>
      </c>
      <c r="F100" s="51">
        <v>272</v>
      </c>
      <c r="G100" s="51">
        <v>71.8</v>
      </c>
      <c r="H100" s="51">
        <v>103.6</v>
      </c>
      <c r="I100" s="51">
        <v>86.5</v>
      </c>
      <c r="J100" s="51">
        <v>114.2</v>
      </c>
      <c r="K100" s="51">
        <v>7.0999999999999994E-2</v>
      </c>
      <c r="L100" s="51">
        <v>9.7000000000000003E-2</v>
      </c>
      <c r="M100" s="51">
        <v>2.3025850929940401</v>
      </c>
      <c r="N100" s="51">
        <v>2.3025850929940401</v>
      </c>
      <c r="O100" s="51">
        <v>5.2729995585637397</v>
      </c>
      <c r="P100" s="51">
        <v>5.6094717951849598</v>
      </c>
      <c r="Q100" s="51">
        <v>4.28771595520264</v>
      </c>
      <c r="R100" s="51">
        <v>4.65014355163082</v>
      </c>
      <c r="S100" s="51">
        <v>7.0999999999999994E-2</v>
      </c>
      <c r="T100" s="51">
        <v>4.4716387933635602</v>
      </c>
      <c r="U100" s="51">
        <v>4.7466697482617901</v>
      </c>
      <c r="V100" s="51">
        <v>6.8592791465611605E-2</v>
      </c>
      <c r="W100" s="51">
        <v>9.2579181293093102E-2</v>
      </c>
      <c r="X100" s="51">
        <v>78</v>
      </c>
      <c r="Y100" s="51">
        <v>31.799999999999901</v>
      </c>
      <c r="Z100" s="51">
        <v>27.7</v>
      </c>
      <c r="AA100" s="51">
        <v>2.5999999999999999E-2</v>
      </c>
      <c r="AB100" s="51">
        <v>0</v>
      </c>
      <c r="AC100" s="51">
        <v>3.4904285153900898</v>
      </c>
      <c r="AD100" s="51">
        <v>4.3694478524670197</v>
      </c>
      <c r="AE100" s="51">
        <v>3.3568971227655702</v>
      </c>
      <c r="AF100" s="51">
        <v>2.5667746748577799E-2</v>
      </c>
      <c r="AG100" s="51" t="b">
        <f>AND("Zeta" ='Keto-CTA with change &amp;Ln-Values'!$B100)</f>
        <v>0</v>
      </c>
      <c r="AH100" s="51" t="b">
        <f t="shared" si="1"/>
        <v>1</v>
      </c>
    </row>
    <row r="101" spans="1:34" x14ac:dyDescent="0.3">
      <c r="A101" s="51">
        <v>96</v>
      </c>
      <c r="B101" s="52" t="s">
        <v>42</v>
      </c>
      <c r="C101" s="51">
        <v>8</v>
      </c>
      <c r="D101" s="51">
        <v>8</v>
      </c>
      <c r="E101" s="51">
        <v>556</v>
      </c>
      <c r="F101" s="51">
        <v>768</v>
      </c>
      <c r="G101" s="51">
        <v>255.8</v>
      </c>
      <c r="H101" s="51">
        <v>389.6</v>
      </c>
      <c r="I101" s="51">
        <v>209.2</v>
      </c>
      <c r="J101" s="51">
        <v>215.4</v>
      </c>
      <c r="K101" s="51">
        <v>0.14099999999999999</v>
      </c>
      <c r="L101" s="51">
        <v>0.17599999999999999</v>
      </c>
      <c r="M101" s="51">
        <v>2.1972245773362098</v>
      </c>
      <c r="N101" s="51">
        <v>2.1972245773362098</v>
      </c>
      <c r="O101" s="51">
        <v>6.3225652399272798</v>
      </c>
      <c r="P101" s="51">
        <v>6.6450909695056399</v>
      </c>
      <c r="Q101" s="51">
        <v>5.5482975718157999</v>
      </c>
      <c r="R101" s="51">
        <v>5.9676840184425703</v>
      </c>
      <c r="S101" s="51">
        <v>0.14099999999999999</v>
      </c>
      <c r="T101" s="51">
        <v>5.34805945844285</v>
      </c>
      <c r="U101" s="51">
        <v>5.3771285469723198</v>
      </c>
      <c r="V101" s="51">
        <v>0.131905070879938</v>
      </c>
      <c r="W101" s="51">
        <v>0.16211884947643501</v>
      </c>
      <c r="X101" s="51">
        <v>212</v>
      </c>
      <c r="Y101" s="51">
        <v>133.80000000000001</v>
      </c>
      <c r="Z101" s="51">
        <v>6.2000000000000099</v>
      </c>
      <c r="AA101" s="51">
        <v>3.5000000000000003E-2</v>
      </c>
      <c r="AB101" s="51">
        <v>0</v>
      </c>
      <c r="AC101" s="51">
        <v>4.9037921984782002</v>
      </c>
      <c r="AD101" s="51">
        <v>5.3612921657094201</v>
      </c>
      <c r="AE101" s="51">
        <v>1.9740810260220101</v>
      </c>
      <c r="AF101" s="51">
        <v>3.4401426717332297E-2</v>
      </c>
      <c r="AG101" s="51" t="b">
        <f>AND("Zeta" ='Keto-CTA with change &amp;Ln-Values'!$B97)</f>
        <v>0</v>
      </c>
      <c r="AH101" s="51" t="b">
        <f>ABS(X101) &gt; 0</f>
        <v>1</v>
      </c>
    </row>
    <row r="102" spans="1:34" x14ac:dyDescent="0.3">
      <c r="A102" s="55"/>
      <c r="B102" s="56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8"/>
    </row>
  </sheetData>
  <phoneticPr fontId="9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A809-790F-4D93-A059-6A728C84F16F}">
  <dimension ref="A1:CL101"/>
  <sheetViews>
    <sheetView topLeftCell="BP1" zoomScale="70" zoomScaleNormal="70" workbookViewId="0">
      <selection activeCell="CT38" sqref="CT38"/>
    </sheetView>
  </sheetViews>
  <sheetFormatPr defaultRowHeight="14.4" x14ac:dyDescent="0.3"/>
  <cols>
    <col min="28" max="28" width="19.21875" customWidth="1"/>
    <col min="29" max="29" width="21.21875" customWidth="1"/>
    <col min="39" max="39" width="17.88671875" customWidth="1"/>
    <col min="40" max="40" width="17.5546875" customWidth="1"/>
    <col min="51" max="51" width="17.88671875" customWidth="1"/>
    <col min="52" max="52" width="17.5546875" customWidth="1"/>
    <col min="65" max="65" width="17.88671875" customWidth="1"/>
    <col min="66" max="66" width="17.5546875" customWidth="1"/>
    <col min="77" max="77" width="12.33203125" customWidth="1"/>
    <col min="78" max="78" width="11.5546875" customWidth="1"/>
    <col min="89" max="89" width="10.109375" customWidth="1"/>
    <col min="90" max="90" width="12.33203125" customWidth="1"/>
  </cols>
  <sheetData>
    <row r="1" spans="1:90" x14ac:dyDescent="0.3">
      <c r="A1" t="s">
        <v>150</v>
      </c>
      <c r="B1" t="s">
        <v>150</v>
      </c>
      <c r="C1" t="s">
        <v>151</v>
      </c>
      <c r="M1" t="s">
        <v>150</v>
      </c>
      <c r="N1" t="s">
        <v>150</v>
      </c>
      <c r="O1" t="s">
        <v>156</v>
      </c>
      <c r="AA1" t="s">
        <v>150</v>
      </c>
      <c r="AB1" t="s">
        <v>150</v>
      </c>
      <c r="AC1" t="s">
        <v>170</v>
      </c>
      <c r="AL1" t="s">
        <v>150</v>
      </c>
      <c r="AM1" t="s">
        <v>150</v>
      </c>
      <c r="AN1" t="s">
        <v>175</v>
      </c>
      <c r="AX1" t="s">
        <v>150</v>
      </c>
      <c r="AY1" t="s">
        <v>150</v>
      </c>
      <c r="AZ1" t="s">
        <v>187</v>
      </c>
      <c r="BL1" t="s">
        <v>150</v>
      </c>
      <c r="BM1" t="s">
        <v>150</v>
      </c>
      <c r="BN1" t="s">
        <v>200</v>
      </c>
      <c r="BX1" t="s">
        <v>150</v>
      </c>
      <c r="BY1" t="s">
        <v>150</v>
      </c>
      <c r="BZ1" t="s">
        <v>212</v>
      </c>
      <c r="CJ1" t="s">
        <v>150</v>
      </c>
      <c r="CK1" t="s">
        <v>150</v>
      </c>
      <c r="CL1" t="s">
        <v>234</v>
      </c>
    </row>
    <row r="2" spans="1:90" x14ac:dyDescent="0.3">
      <c r="A2" t="s">
        <v>150</v>
      </c>
      <c r="B2" t="s">
        <v>150</v>
      </c>
      <c r="C2" t="s">
        <v>152</v>
      </c>
      <c r="M2" t="s">
        <v>150</v>
      </c>
      <c r="N2" t="s">
        <v>150</v>
      </c>
      <c r="O2" t="s">
        <v>157</v>
      </c>
      <c r="AA2" t="s">
        <v>150</v>
      </c>
      <c r="AB2" t="s">
        <v>150</v>
      </c>
      <c r="AC2" t="s">
        <v>171</v>
      </c>
      <c r="AL2" t="s">
        <v>150</v>
      </c>
      <c r="AM2" t="s">
        <v>150</v>
      </c>
      <c r="AN2" t="s">
        <v>176</v>
      </c>
      <c r="AX2" t="s">
        <v>150</v>
      </c>
      <c r="AY2" t="s">
        <v>150</v>
      </c>
      <c r="AZ2" t="s">
        <v>188</v>
      </c>
      <c r="BL2" t="s">
        <v>150</v>
      </c>
      <c r="BM2" t="s">
        <v>150</v>
      </c>
      <c r="BN2" t="s">
        <v>201</v>
      </c>
      <c r="BX2" t="s">
        <v>150</v>
      </c>
      <c r="BY2" t="s">
        <v>150</v>
      </c>
      <c r="BZ2" t="s">
        <v>213</v>
      </c>
      <c r="CJ2" t="s">
        <v>150</v>
      </c>
      <c r="CK2" t="s">
        <v>150</v>
      </c>
      <c r="CL2" t="s">
        <v>235</v>
      </c>
    </row>
    <row r="3" spans="1:90" x14ac:dyDescent="0.3">
      <c r="A3" t="s">
        <v>153</v>
      </c>
      <c r="B3" t="s">
        <v>154</v>
      </c>
      <c r="C3" t="s">
        <v>155</v>
      </c>
      <c r="M3" t="s">
        <v>153</v>
      </c>
      <c r="N3" t="s">
        <v>158</v>
      </c>
      <c r="O3" t="s">
        <v>159</v>
      </c>
      <c r="AA3" t="s">
        <v>153</v>
      </c>
      <c r="AB3" t="s">
        <v>172</v>
      </c>
      <c r="AC3" t="s">
        <v>173</v>
      </c>
      <c r="AL3" t="s">
        <v>153</v>
      </c>
      <c r="AM3" t="s">
        <v>172</v>
      </c>
      <c r="AN3" t="s">
        <v>177</v>
      </c>
      <c r="AX3" t="s">
        <v>153</v>
      </c>
      <c r="AY3" t="s">
        <v>189</v>
      </c>
      <c r="AZ3" t="s">
        <v>190</v>
      </c>
      <c r="BL3" t="s">
        <v>153</v>
      </c>
      <c r="BM3" t="s">
        <v>202</v>
      </c>
      <c r="BN3" t="s">
        <v>177</v>
      </c>
      <c r="BX3" t="s">
        <v>153</v>
      </c>
      <c r="BY3" t="s">
        <v>214</v>
      </c>
      <c r="BZ3" t="s">
        <v>215</v>
      </c>
      <c r="CJ3" t="s">
        <v>153</v>
      </c>
      <c r="CK3" t="s">
        <v>236</v>
      </c>
      <c r="CL3" t="s">
        <v>237</v>
      </c>
    </row>
    <row r="4" spans="1:90" x14ac:dyDescent="0.3">
      <c r="A4">
        <v>17</v>
      </c>
      <c r="B4">
        <v>0</v>
      </c>
      <c r="C4">
        <v>1</v>
      </c>
      <c r="M4">
        <v>17</v>
      </c>
      <c r="N4">
        <v>0</v>
      </c>
      <c r="O4">
        <v>0.69314718055994495</v>
      </c>
      <c r="AA4">
        <v>2</v>
      </c>
      <c r="AB4">
        <v>0</v>
      </c>
      <c r="AC4">
        <v>0</v>
      </c>
      <c r="AL4">
        <v>1</v>
      </c>
      <c r="AM4">
        <v>0</v>
      </c>
      <c r="AN4">
        <v>0</v>
      </c>
      <c r="AX4">
        <v>1</v>
      </c>
      <c r="AY4">
        <v>0</v>
      </c>
      <c r="AZ4">
        <v>0</v>
      </c>
      <c r="BL4">
        <v>1</v>
      </c>
      <c r="BM4">
        <v>0</v>
      </c>
      <c r="BN4">
        <v>0</v>
      </c>
      <c r="BX4">
        <v>1</v>
      </c>
      <c r="BY4">
        <v>2.33214389523559</v>
      </c>
      <c r="BZ4">
        <v>2.98568193770048</v>
      </c>
      <c r="CJ4">
        <v>84</v>
      </c>
      <c r="CK4">
        <v>2.9444389791664398</v>
      </c>
      <c r="CL4">
        <v>0.95985854692558203</v>
      </c>
    </row>
    <row r="5" spans="1:90" x14ac:dyDescent="0.3">
      <c r="A5">
        <v>49</v>
      </c>
      <c r="B5">
        <v>0</v>
      </c>
      <c r="C5">
        <v>2</v>
      </c>
      <c r="M5">
        <v>49</v>
      </c>
      <c r="N5">
        <v>0</v>
      </c>
      <c r="O5">
        <v>1.0986122886681</v>
      </c>
      <c r="AA5">
        <v>53</v>
      </c>
      <c r="AB5">
        <v>2.4882124379224999</v>
      </c>
      <c r="AC5">
        <v>0.33457829666114203</v>
      </c>
      <c r="AL5">
        <v>9</v>
      </c>
      <c r="AM5">
        <v>0</v>
      </c>
      <c r="AN5">
        <v>0</v>
      </c>
      <c r="AX5">
        <v>3</v>
      </c>
      <c r="AY5">
        <v>0</v>
      </c>
      <c r="AZ5">
        <v>4.7621739347977501</v>
      </c>
      <c r="BL5">
        <v>9</v>
      </c>
      <c r="BM5">
        <v>0</v>
      </c>
      <c r="BN5">
        <v>0</v>
      </c>
      <c r="BX5">
        <v>3</v>
      </c>
      <c r="BY5">
        <v>2.0149030205422598</v>
      </c>
      <c r="BZ5">
        <v>3.1863526331626399</v>
      </c>
      <c r="CJ5">
        <v>79</v>
      </c>
      <c r="CK5">
        <v>3.93182563272432</v>
      </c>
      <c r="CL5">
        <v>1.0432096687204899</v>
      </c>
    </row>
    <row r="6" spans="1:90" x14ac:dyDescent="0.3">
      <c r="A6">
        <v>50</v>
      </c>
      <c r="B6">
        <v>0</v>
      </c>
      <c r="C6">
        <v>1</v>
      </c>
      <c r="M6">
        <v>50</v>
      </c>
      <c r="N6">
        <v>0</v>
      </c>
      <c r="O6">
        <v>0.69314718055994495</v>
      </c>
      <c r="AA6">
        <v>86</v>
      </c>
      <c r="AB6">
        <v>1.52034688565469</v>
      </c>
      <c r="AC6">
        <v>0.40574307892301797</v>
      </c>
      <c r="AL6">
        <v>10</v>
      </c>
      <c r="AM6">
        <v>0</v>
      </c>
      <c r="AN6">
        <v>0</v>
      </c>
      <c r="AX6">
        <v>4</v>
      </c>
      <c r="AY6">
        <v>0</v>
      </c>
      <c r="AZ6">
        <v>2.40794560865187</v>
      </c>
      <c r="BL6">
        <v>10</v>
      </c>
      <c r="BM6">
        <v>0</v>
      </c>
      <c r="BN6">
        <v>0</v>
      </c>
      <c r="BX6">
        <v>4</v>
      </c>
      <c r="BY6">
        <v>1.0296194171811499</v>
      </c>
      <c r="BZ6">
        <v>2.3125354238472098</v>
      </c>
      <c r="CJ6">
        <v>76</v>
      </c>
      <c r="CK6">
        <v>3.6109179126442199</v>
      </c>
      <c r="CL6">
        <v>1.6509249299241</v>
      </c>
    </row>
    <row r="7" spans="1:90" x14ac:dyDescent="0.3">
      <c r="A7">
        <v>52</v>
      </c>
      <c r="B7">
        <v>0</v>
      </c>
      <c r="C7">
        <v>1</v>
      </c>
      <c r="M7">
        <v>52</v>
      </c>
      <c r="N7">
        <v>0</v>
      </c>
      <c r="O7">
        <v>0.69314718055994495</v>
      </c>
      <c r="AA7">
        <v>96</v>
      </c>
      <c r="AB7">
        <v>1.03273169330855</v>
      </c>
      <c r="AC7">
        <v>0.418685900214746</v>
      </c>
      <c r="AL7">
        <v>12</v>
      </c>
      <c r="AM7">
        <v>0</v>
      </c>
      <c r="AN7">
        <v>0</v>
      </c>
      <c r="AX7">
        <v>5</v>
      </c>
      <c r="AY7">
        <v>0</v>
      </c>
      <c r="AZ7">
        <v>3.7455747977904799</v>
      </c>
      <c r="BL7">
        <v>12</v>
      </c>
      <c r="BM7">
        <v>0</v>
      </c>
      <c r="BN7">
        <v>0</v>
      </c>
      <c r="BX7">
        <v>5</v>
      </c>
      <c r="BY7">
        <v>2.8094026953624902</v>
      </c>
      <c r="BZ7">
        <v>3.2503744919275701</v>
      </c>
      <c r="CJ7">
        <v>62</v>
      </c>
      <c r="CK7">
        <v>2.7080502011022101</v>
      </c>
      <c r="CL7">
        <v>1.65929799403658</v>
      </c>
    </row>
    <row r="8" spans="1:90" x14ac:dyDescent="0.3">
      <c r="A8">
        <v>53</v>
      </c>
      <c r="B8">
        <v>0</v>
      </c>
      <c r="C8">
        <v>1</v>
      </c>
      <c r="M8">
        <v>53</v>
      </c>
      <c r="N8">
        <v>0</v>
      </c>
      <c r="O8">
        <v>0.69314718055994495</v>
      </c>
      <c r="AA8">
        <v>93</v>
      </c>
      <c r="AB8">
        <v>1.5514594429923101</v>
      </c>
      <c r="AC8">
        <v>0.50531488358507504</v>
      </c>
      <c r="AL8">
        <v>13</v>
      </c>
      <c r="AM8">
        <v>0</v>
      </c>
      <c r="AN8">
        <v>0</v>
      </c>
      <c r="AX8">
        <v>6</v>
      </c>
      <c r="AY8">
        <v>0</v>
      </c>
      <c r="AZ8">
        <v>3.2027464429383099</v>
      </c>
      <c r="BL8">
        <v>13</v>
      </c>
      <c r="BM8">
        <v>0</v>
      </c>
      <c r="BN8">
        <v>0</v>
      </c>
      <c r="BX8">
        <v>6</v>
      </c>
      <c r="BY8">
        <v>2.43361335540044</v>
      </c>
      <c r="BZ8">
        <v>2.5494451709255701</v>
      </c>
      <c r="CJ8">
        <v>80</v>
      </c>
      <c r="CK8">
        <v>3.4657359027997199</v>
      </c>
      <c r="CL8">
        <v>1.8001193459475999</v>
      </c>
    </row>
    <row r="9" spans="1:90" x14ac:dyDescent="0.3">
      <c r="A9">
        <v>57</v>
      </c>
      <c r="B9">
        <v>4</v>
      </c>
      <c r="C9">
        <v>6</v>
      </c>
      <c r="M9">
        <v>57</v>
      </c>
      <c r="N9">
        <v>1.6094379124341001</v>
      </c>
      <c r="O9">
        <v>1.9459101490553099</v>
      </c>
      <c r="AA9">
        <v>87</v>
      </c>
      <c r="AB9">
        <v>1.64544088952539</v>
      </c>
      <c r="AC9">
        <v>0.63215996401166497</v>
      </c>
      <c r="AL9">
        <v>16</v>
      </c>
      <c r="AM9">
        <v>0</v>
      </c>
      <c r="AN9">
        <v>0</v>
      </c>
      <c r="AX9">
        <v>8</v>
      </c>
      <c r="AY9">
        <v>0</v>
      </c>
      <c r="AZ9">
        <v>6.7165947735209697</v>
      </c>
      <c r="BL9">
        <v>16</v>
      </c>
      <c r="BM9">
        <v>0</v>
      </c>
      <c r="BN9">
        <v>0</v>
      </c>
      <c r="BX9">
        <v>7</v>
      </c>
      <c r="BY9">
        <v>3.8999504241938698</v>
      </c>
      <c r="BZ9">
        <v>4.3993752730084896</v>
      </c>
      <c r="CJ9">
        <v>99</v>
      </c>
      <c r="CK9">
        <v>4.3694478524670197</v>
      </c>
      <c r="CL9">
        <v>2.0510716888963598</v>
      </c>
    </row>
    <row r="10" spans="1:90" x14ac:dyDescent="0.3">
      <c r="A10">
        <v>59</v>
      </c>
      <c r="B10">
        <v>37</v>
      </c>
      <c r="C10">
        <v>37</v>
      </c>
      <c r="M10">
        <v>59</v>
      </c>
      <c r="N10">
        <v>3.6375861597263799</v>
      </c>
      <c r="O10">
        <v>3.6375861597263799</v>
      </c>
      <c r="AA10">
        <v>100</v>
      </c>
      <c r="AB10">
        <v>2.0252613349958501</v>
      </c>
      <c r="AC10">
        <v>0.78529717602382298</v>
      </c>
      <c r="AL10">
        <v>18</v>
      </c>
      <c r="AM10">
        <v>0</v>
      </c>
      <c r="AN10">
        <v>0</v>
      </c>
      <c r="AX10">
        <v>9</v>
      </c>
      <c r="AY10">
        <v>0</v>
      </c>
      <c r="AZ10">
        <v>0</v>
      </c>
      <c r="BL10">
        <v>18</v>
      </c>
      <c r="BM10">
        <v>0</v>
      </c>
      <c r="BN10">
        <v>0</v>
      </c>
      <c r="BX10">
        <v>8</v>
      </c>
      <c r="BY10">
        <v>4.1987045775463399</v>
      </c>
      <c r="BZ10">
        <v>4.42484663185681</v>
      </c>
      <c r="CJ10">
        <v>96</v>
      </c>
      <c r="CK10">
        <v>5.3612921657094201</v>
      </c>
      <c r="CL10">
        <v>2.1458240757226399</v>
      </c>
    </row>
    <row r="11" spans="1:90" x14ac:dyDescent="0.3">
      <c r="A11">
        <v>61</v>
      </c>
      <c r="B11">
        <v>9</v>
      </c>
      <c r="C11">
        <v>13</v>
      </c>
      <c r="M11">
        <v>61</v>
      </c>
      <c r="N11">
        <v>2.3025850929940401</v>
      </c>
      <c r="O11">
        <v>2.63905732961525</v>
      </c>
      <c r="AA11">
        <v>85</v>
      </c>
      <c r="AB11">
        <v>1.6758708758462799</v>
      </c>
      <c r="AC11">
        <v>1.02388176777984</v>
      </c>
      <c r="AL11">
        <v>20</v>
      </c>
      <c r="AM11">
        <v>0</v>
      </c>
      <c r="AN11">
        <v>0</v>
      </c>
      <c r="AX11">
        <v>10</v>
      </c>
      <c r="AY11">
        <v>0</v>
      </c>
      <c r="AZ11">
        <v>0</v>
      </c>
      <c r="BL11">
        <v>19</v>
      </c>
      <c r="BM11">
        <v>0</v>
      </c>
      <c r="BN11">
        <v>0</v>
      </c>
      <c r="BX11">
        <v>9</v>
      </c>
      <c r="BY11">
        <v>1.5686159179138399</v>
      </c>
      <c r="BZ11">
        <v>2.6461747973841199</v>
      </c>
      <c r="CJ11">
        <v>98</v>
      </c>
      <c r="CK11">
        <v>4.0604430105464102</v>
      </c>
      <c r="CL11">
        <v>3.5578537245839601</v>
      </c>
    </row>
    <row r="12" spans="1:90" x14ac:dyDescent="0.3">
      <c r="A12">
        <v>62</v>
      </c>
      <c r="B12">
        <v>27</v>
      </c>
      <c r="C12">
        <v>41</v>
      </c>
      <c r="M12">
        <v>62</v>
      </c>
      <c r="N12">
        <v>3.3322045101751998</v>
      </c>
      <c r="O12">
        <v>3.73766961828336</v>
      </c>
      <c r="AA12">
        <v>82</v>
      </c>
      <c r="AB12">
        <v>1.6460476580466601</v>
      </c>
      <c r="AC12">
        <v>1.04387225569244</v>
      </c>
      <c r="AL12">
        <v>21</v>
      </c>
      <c r="AM12">
        <v>0</v>
      </c>
      <c r="AN12">
        <v>0</v>
      </c>
      <c r="AX12">
        <v>12</v>
      </c>
      <c r="AY12">
        <v>0</v>
      </c>
      <c r="AZ12">
        <v>0</v>
      </c>
      <c r="BL12">
        <v>20</v>
      </c>
      <c r="BM12">
        <v>0</v>
      </c>
      <c r="BN12">
        <v>0</v>
      </c>
      <c r="BX12">
        <v>10</v>
      </c>
      <c r="BY12">
        <v>3.7796338173824</v>
      </c>
      <c r="BZ12">
        <v>4.1805222584631503</v>
      </c>
      <c r="CJ12">
        <v>86</v>
      </c>
      <c r="CK12">
        <v>3.7841896339182601</v>
      </c>
      <c r="CL12">
        <v>3.7371233016415499</v>
      </c>
    </row>
    <row r="13" spans="1:90" x14ac:dyDescent="0.3">
      <c r="A13">
        <v>64</v>
      </c>
      <c r="B13">
        <v>63</v>
      </c>
      <c r="C13">
        <v>67</v>
      </c>
      <c r="M13">
        <v>64</v>
      </c>
      <c r="N13">
        <v>4.1588830833596697</v>
      </c>
      <c r="O13">
        <v>4.2195077051760999</v>
      </c>
      <c r="AA13">
        <v>48</v>
      </c>
      <c r="AB13">
        <v>6.9479370686149604</v>
      </c>
      <c r="AC13">
        <v>5.4424177105217897</v>
      </c>
      <c r="AL13">
        <v>24</v>
      </c>
      <c r="AM13">
        <v>0</v>
      </c>
      <c r="AN13">
        <v>0</v>
      </c>
      <c r="AX13">
        <v>13</v>
      </c>
      <c r="AY13">
        <v>0</v>
      </c>
      <c r="AZ13">
        <v>0</v>
      </c>
      <c r="BL13">
        <v>21</v>
      </c>
      <c r="BM13">
        <v>0</v>
      </c>
      <c r="BN13">
        <v>0</v>
      </c>
      <c r="BX13">
        <v>11</v>
      </c>
      <c r="BY13">
        <v>3.1223649244873499</v>
      </c>
      <c r="BZ13">
        <v>3.8155121050473002</v>
      </c>
      <c r="CJ13">
        <v>78</v>
      </c>
      <c r="CK13">
        <v>2.8332133440562099</v>
      </c>
      <c r="CL13">
        <v>3.8452244952874901</v>
      </c>
    </row>
    <row r="14" spans="1:90" x14ac:dyDescent="0.3">
      <c r="A14">
        <v>67</v>
      </c>
      <c r="B14">
        <v>4</v>
      </c>
      <c r="C14">
        <v>8</v>
      </c>
      <c r="M14">
        <v>67</v>
      </c>
      <c r="N14">
        <v>1.6094379124341001</v>
      </c>
      <c r="O14">
        <v>2.1972245773362098</v>
      </c>
      <c r="AA14" t="s">
        <v>169</v>
      </c>
      <c r="AL14">
        <v>25</v>
      </c>
      <c r="AM14">
        <v>0</v>
      </c>
      <c r="AN14">
        <v>0</v>
      </c>
      <c r="AX14">
        <v>14</v>
      </c>
      <c r="AY14">
        <v>0</v>
      </c>
      <c r="AZ14">
        <v>6.3279367837291902</v>
      </c>
      <c r="BL14">
        <v>24</v>
      </c>
      <c r="BM14">
        <v>0</v>
      </c>
      <c r="BN14">
        <v>0</v>
      </c>
      <c r="BX14">
        <v>12</v>
      </c>
      <c r="BY14">
        <v>1.77495235091167</v>
      </c>
      <c r="BZ14">
        <v>2.8735646395797798</v>
      </c>
      <c r="CJ14">
        <v>100</v>
      </c>
      <c r="CK14">
        <v>3.5835189384561099</v>
      </c>
      <c r="CL14">
        <v>4.7148140832379299</v>
      </c>
    </row>
    <row r="15" spans="1:90" x14ac:dyDescent="0.3">
      <c r="A15">
        <v>68</v>
      </c>
      <c r="B15">
        <v>0</v>
      </c>
      <c r="C15">
        <v>3</v>
      </c>
      <c r="M15">
        <v>68</v>
      </c>
      <c r="N15">
        <v>0</v>
      </c>
      <c r="O15">
        <v>1.3862943611198899</v>
      </c>
      <c r="AA15" t="s">
        <v>174</v>
      </c>
      <c r="AL15">
        <v>26</v>
      </c>
      <c r="AM15">
        <v>0</v>
      </c>
      <c r="AN15">
        <v>0</v>
      </c>
      <c r="AX15">
        <v>16</v>
      </c>
      <c r="AY15">
        <v>0</v>
      </c>
      <c r="AZ15">
        <v>0</v>
      </c>
      <c r="BL15">
        <v>25</v>
      </c>
      <c r="BM15">
        <v>0</v>
      </c>
      <c r="BN15">
        <v>0</v>
      </c>
      <c r="BX15">
        <v>13</v>
      </c>
      <c r="BY15">
        <v>3.3603753871419002</v>
      </c>
      <c r="BZ15">
        <v>3.69635146895263</v>
      </c>
      <c r="CJ15">
        <v>93</v>
      </c>
      <c r="CK15">
        <v>3.4657359027997199</v>
      </c>
      <c r="CL15">
        <v>4.7877717154122301</v>
      </c>
    </row>
    <row r="16" spans="1:90" x14ac:dyDescent="0.3">
      <c r="A16">
        <v>69</v>
      </c>
      <c r="B16">
        <v>21</v>
      </c>
      <c r="C16">
        <v>21</v>
      </c>
      <c r="M16">
        <v>69</v>
      </c>
      <c r="N16">
        <v>3.0910424533583098</v>
      </c>
      <c r="O16">
        <v>3.0910424533583098</v>
      </c>
      <c r="AL16">
        <v>29</v>
      </c>
      <c r="AM16">
        <v>0</v>
      </c>
      <c r="AN16">
        <v>0</v>
      </c>
      <c r="AX16">
        <v>18</v>
      </c>
      <c r="AY16">
        <v>0</v>
      </c>
      <c r="AZ16">
        <v>0</v>
      </c>
      <c r="BL16">
        <v>26</v>
      </c>
      <c r="BM16">
        <v>0</v>
      </c>
      <c r="BN16">
        <v>0</v>
      </c>
      <c r="BX16">
        <v>14</v>
      </c>
      <c r="BY16">
        <v>3.15273602236365</v>
      </c>
      <c r="BZ16">
        <v>4.0412953411322796</v>
      </c>
      <c r="CJ16">
        <v>82</v>
      </c>
      <c r="CK16">
        <v>3.3322045101751998</v>
      </c>
      <c r="CL16">
        <v>5.2423128931211203</v>
      </c>
    </row>
    <row r="17" spans="1:90" x14ac:dyDescent="0.3">
      <c r="A17">
        <v>70</v>
      </c>
      <c r="B17">
        <v>10</v>
      </c>
      <c r="C17">
        <v>18</v>
      </c>
      <c r="M17">
        <v>70</v>
      </c>
      <c r="N17">
        <v>2.3978952727983698</v>
      </c>
      <c r="O17">
        <v>2.9444389791664398</v>
      </c>
      <c r="AL17">
        <v>32</v>
      </c>
      <c r="AM17">
        <v>0</v>
      </c>
      <c r="AN17">
        <v>0</v>
      </c>
      <c r="AX17">
        <v>19</v>
      </c>
      <c r="AY17">
        <v>0</v>
      </c>
      <c r="AZ17">
        <v>1.8625285401162599</v>
      </c>
      <c r="BL17">
        <v>29</v>
      </c>
      <c r="BM17">
        <v>0</v>
      </c>
      <c r="BN17">
        <v>0</v>
      </c>
      <c r="BX17">
        <v>15</v>
      </c>
      <c r="BY17">
        <v>3.31418600467252</v>
      </c>
      <c r="BZ17">
        <v>4.2752762647270002</v>
      </c>
      <c r="CJ17">
        <v>85</v>
      </c>
      <c r="CK17">
        <v>3.4657359027997199</v>
      </c>
      <c r="CL17">
        <v>5.3028537083223801</v>
      </c>
    </row>
    <row r="18" spans="1:90" x14ac:dyDescent="0.3">
      <c r="A18">
        <v>71</v>
      </c>
      <c r="B18">
        <v>3</v>
      </c>
      <c r="C18">
        <v>5</v>
      </c>
      <c r="M18">
        <v>71</v>
      </c>
      <c r="N18">
        <v>1.3862943611198899</v>
      </c>
      <c r="O18">
        <v>1.7917594692280501</v>
      </c>
      <c r="AL18">
        <v>33</v>
      </c>
      <c r="AM18">
        <v>0</v>
      </c>
      <c r="AN18">
        <v>0</v>
      </c>
      <c r="AX18">
        <v>20</v>
      </c>
      <c r="AY18">
        <v>0</v>
      </c>
      <c r="AZ18">
        <v>0</v>
      </c>
      <c r="BL18">
        <v>32</v>
      </c>
      <c r="BM18">
        <v>0</v>
      </c>
      <c r="BN18">
        <v>0</v>
      </c>
      <c r="BX18">
        <v>16</v>
      </c>
      <c r="BY18">
        <v>0</v>
      </c>
      <c r="BZ18">
        <v>0</v>
      </c>
      <c r="CJ18">
        <v>88</v>
      </c>
      <c r="CK18">
        <v>2.5649493574615301</v>
      </c>
      <c r="CL18">
        <v>5.42227097958021</v>
      </c>
    </row>
    <row r="19" spans="1:90" x14ac:dyDescent="0.3">
      <c r="A19">
        <v>72</v>
      </c>
      <c r="B19">
        <v>12</v>
      </c>
      <c r="C19">
        <v>17</v>
      </c>
      <c r="M19">
        <v>72</v>
      </c>
      <c r="N19">
        <v>2.5649493574615301</v>
      </c>
      <c r="O19">
        <v>2.8903717578961601</v>
      </c>
      <c r="AL19">
        <v>35</v>
      </c>
      <c r="AM19">
        <v>0</v>
      </c>
      <c r="AN19">
        <v>0</v>
      </c>
      <c r="AX19">
        <v>21</v>
      </c>
      <c r="AY19">
        <v>0</v>
      </c>
      <c r="AZ19">
        <v>0</v>
      </c>
      <c r="BL19">
        <v>33</v>
      </c>
      <c r="BM19">
        <v>0</v>
      </c>
      <c r="BN19">
        <v>0</v>
      </c>
      <c r="BX19">
        <v>17</v>
      </c>
      <c r="BY19">
        <v>1.9878743481543399</v>
      </c>
      <c r="BZ19">
        <v>3.0349529867072702</v>
      </c>
      <c r="CJ19">
        <v>83</v>
      </c>
      <c r="CK19">
        <v>3.3672958299864701</v>
      </c>
      <c r="CL19">
        <v>5.7114558818216903</v>
      </c>
    </row>
    <row r="20" spans="1:90" x14ac:dyDescent="0.3">
      <c r="A20">
        <v>73</v>
      </c>
      <c r="B20">
        <v>39</v>
      </c>
      <c r="C20">
        <v>49</v>
      </c>
      <c r="M20">
        <v>73</v>
      </c>
      <c r="N20">
        <v>3.68887945411393</v>
      </c>
      <c r="O20">
        <v>3.9120230054281402</v>
      </c>
      <c r="AL20">
        <v>36</v>
      </c>
      <c r="AM20">
        <v>0</v>
      </c>
      <c r="AN20">
        <v>0</v>
      </c>
      <c r="AX20">
        <v>22</v>
      </c>
      <c r="AY20">
        <v>0</v>
      </c>
      <c r="AZ20">
        <v>3.55534806148941</v>
      </c>
      <c r="BL20">
        <v>35</v>
      </c>
      <c r="BM20">
        <v>0</v>
      </c>
      <c r="BN20">
        <v>0</v>
      </c>
      <c r="BX20">
        <v>18</v>
      </c>
      <c r="BY20">
        <v>2.1972245773362098</v>
      </c>
      <c r="BZ20">
        <v>2.7911651078127102</v>
      </c>
      <c r="CJ20">
        <v>90</v>
      </c>
      <c r="CK20">
        <v>2.5649493574615301</v>
      </c>
      <c r="CL20">
        <v>22.756573062773501</v>
      </c>
    </row>
    <row r="21" spans="1:90" x14ac:dyDescent="0.3">
      <c r="A21">
        <v>74</v>
      </c>
      <c r="B21">
        <v>2</v>
      </c>
      <c r="C21">
        <v>7</v>
      </c>
      <c r="M21">
        <v>74</v>
      </c>
      <c r="N21">
        <v>1.0986122886681</v>
      </c>
      <c r="O21">
        <v>2.07944154167983</v>
      </c>
      <c r="AL21">
        <v>39</v>
      </c>
      <c r="AM21">
        <v>0</v>
      </c>
      <c r="AN21">
        <v>0</v>
      </c>
      <c r="AX21">
        <v>24</v>
      </c>
      <c r="AY21">
        <v>0</v>
      </c>
      <c r="AZ21">
        <v>0</v>
      </c>
      <c r="BL21">
        <v>36</v>
      </c>
      <c r="BM21">
        <v>0</v>
      </c>
      <c r="BN21">
        <v>0</v>
      </c>
      <c r="BX21">
        <v>19</v>
      </c>
      <c r="BY21">
        <v>0</v>
      </c>
      <c r="BZ21">
        <v>2.68102152871429</v>
      </c>
      <c r="CJ21" t="s">
        <v>140</v>
      </c>
    </row>
    <row r="22" spans="1:90" x14ac:dyDescent="0.3">
      <c r="A22">
        <v>75</v>
      </c>
      <c r="B22">
        <v>21</v>
      </c>
      <c r="C22">
        <v>31</v>
      </c>
      <c r="M22">
        <v>75</v>
      </c>
      <c r="N22">
        <v>3.0910424533583098</v>
      </c>
      <c r="O22">
        <v>3.4657359027997199</v>
      </c>
      <c r="AL22">
        <v>41</v>
      </c>
      <c r="AM22">
        <v>0</v>
      </c>
      <c r="AN22">
        <v>0</v>
      </c>
      <c r="AX22">
        <v>25</v>
      </c>
      <c r="AY22">
        <v>0</v>
      </c>
      <c r="AZ22">
        <v>0</v>
      </c>
      <c r="BL22">
        <v>39</v>
      </c>
      <c r="BM22">
        <v>0</v>
      </c>
      <c r="BN22">
        <v>0</v>
      </c>
      <c r="BX22">
        <v>20</v>
      </c>
      <c r="BY22">
        <v>3.8437441646748498</v>
      </c>
      <c r="BZ22">
        <v>4.1743872698956297</v>
      </c>
      <c r="CJ22" t="s">
        <v>225</v>
      </c>
    </row>
    <row r="23" spans="1:90" x14ac:dyDescent="0.3">
      <c r="A23">
        <v>76</v>
      </c>
      <c r="B23">
        <v>69</v>
      </c>
      <c r="C23">
        <v>105</v>
      </c>
      <c r="M23">
        <v>76</v>
      </c>
      <c r="N23">
        <v>4.2484952420493496</v>
      </c>
      <c r="O23">
        <v>4.6634390941120598</v>
      </c>
      <c r="AL23">
        <v>42</v>
      </c>
      <c r="AM23">
        <v>0</v>
      </c>
      <c r="AN23">
        <v>0</v>
      </c>
      <c r="AX23">
        <v>26</v>
      </c>
      <c r="AY23">
        <v>0</v>
      </c>
      <c r="AZ23">
        <v>0</v>
      </c>
      <c r="BL23">
        <v>41</v>
      </c>
      <c r="BM23">
        <v>0</v>
      </c>
      <c r="BN23">
        <v>0</v>
      </c>
      <c r="BX23">
        <v>21</v>
      </c>
      <c r="BY23">
        <v>2.6741486494265199</v>
      </c>
      <c r="BZ23">
        <v>3.0773122605464098</v>
      </c>
      <c r="CJ23" t="s">
        <v>226</v>
      </c>
    </row>
    <row r="24" spans="1:90" x14ac:dyDescent="0.3">
      <c r="A24">
        <v>78</v>
      </c>
      <c r="B24">
        <v>81</v>
      </c>
      <c r="C24">
        <v>97</v>
      </c>
      <c r="M24">
        <v>78</v>
      </c>
      <c r="N24">
        <v>4.4067192472642498</v>
      </c>
      <c r="O24">
        <v>4.5849674786705696</v>
      </c>
      <c r="AL24">
        <v>44</v>
      </c>
      <c r="AM24">
        <v>0</v>
      </c>
      <c r="AN24">
        <v>0</v>
      </c>
      <c r="AX24">
        <v>28</v>
      </c>
      <c r="AY24">
        <v>0</v>
      </c>
      <c r="AZ24">
        <v>3.9889840465642701</v>
      </c>
      <c r="BL24">
        <v>42</v>
      </c>
      <c r="BM24">
        <v>0</v>
      </c>
      <c r="BN24">
        <v>0</v>
      </c>
      <c r="BX24">
        <v>22</v>
      </c>
      <c r="BY24">
        <v>0.993251773010283</v>
      </c>
      <c r="BZ24">
        <v>2.05412373369554</v>
      </c>
      <c r="CJ24" t="s">
        <v>227</v>
      </c>
    </row>
    <row r="25" spans="1:90" x14ac:dyDescent="0.3">
      <c r="A25">
        <v>79</v>
      </c>
      <c r="B25">
        <v>53</v>
      </c>
      <c r="C25">
        <v>103</v>
      </c>
      <c r="M25">
        <v>79</v>
      </c>
      <c r="N25">
        <v>3.9889840465642701</v>
      </c>
      <c r="O25">
        <v>4.6443908991413698</v>
      </c>
      <c r="AL25">
        <v>46</v>
      </c>
      <c r="AM25">
        <v>0</v>
      </c>
      <c r="AN25">
        <v>0</v>
      </c>
      <c r="AX25">
        <v>29</v>
      </c>
      <c r="AY25">
        <v>0</v>
      </c>
      <c r="AZ25">
        <v>0</v>
      </c>
      <c r="BL25">
        <v>44</v>
      </c>
      <c r="BM25">
        <v>0</v>
      </c>
      <c r="BN25">
        <v>0</v>
      </c>
      <c r="BX25">
        <v>23</v>
      </c>
      <c r="BY25">
        <v>3.0910424533583098</v>
      </c>
      <c r="BZ25">
        <v>4.2239097665767398</v>
      </c>
      <c r="CJ25" t="s">
        <v>228</v>
      </c>
    </row>
    <row r="26" spans="1:90" x14ac:dyDescent="0.3">
      <c r="A26">
        <v>80</v>
      </c>
      <c r="B26">
        <v>66</v>
      </c>
      <c r="C26">
        <v>97</v>
      </c>
      <c r="M26">
        <v>80</v>
      </c>
      <c r="N26">
        <v>4.2046926193909604</v>
      </c>
      <c r="O26">
        <v>4.5849674786705696</v>
      </c>
      <c r="AL26">
        <v>60</v>
      </c>
      <c r="AM26">
        <v>0</v>
      </c>
      <c r="AN26">
        <v>0</v>
      </c>
      <c r="AX26">
        <v>30</v>
      </c>
      <c r="AY26">
        <v>0</v>
      </c>
      <c r="AZ26">
        <v>5.2882670306945299</v>
      </c>
      <c r="BL26">
        <v>46</v>
      </c>
      <c r="BM26">
        <v>0</v>
      </c>
      <c r="BN26">
        <v>0</v>
      </c>
      <c r="BX26">
        <v>24</v>
      </c>
      <c r="BY26">
        <v>1.90210752639692</v>
      </c>
      <c r="BZ26">
        <v>2.38876278923509</v>
      </c>
      <c r="CJ26" t="s">
        <v>229</v>
      </c>
    </row>
    <row r="27" spans="1:90" x14ac:dyDescent="0.3">
      <c r="A27">
        <v>81</v>
      </c>
      <c r="B27">
        <v>80</v>
      </c>
      <c r="C27">
        <v>81</v>
      </c>
      <c r="M27">
        <v>81</v>
      </c>
      <c r="N27">
        <v>4.3944491546724302</v>
      </c>
      <c r="O27">
        <v>4.4067192472642498</v>
      </c>
      <c r="AL27">
        <v>99</v>
      </c>
      <c r="AM27">
        <v>0.64562591327694996</v>
      </c>
      <c r="AN27">
        <v>0.48779537649129101</v>
      </c>
      <c r="AX27">
        <v>31</v>
      </c>
      <c r="AY27">
        <v>0</v>
      </c>
      <c r="AZ27">
        <v>4.5108595065168497</v>
      </c>
      <c r="BL27">
        <v>60</v>
      </c>
      <c r="BM27">
        <v>0</v>
      </c>
      <c r="BN27">
        <v>0</v>
      </c>
      <c r="BX27">
        <v>25</v>
      </c>
      <c r="BY27">
        <v>2.8622008809294601</v>
      </c>
      <c r="BZ27">
        <v>4.0842942263685904</v>
      </c>
      <c r="CJ27" t="s">
        <v>230</v>
      </c>
    </row>
    <row r="28" spans="1:90" x14ac:dyDescent="0.3">
      <c r="A28">
        <v>82</v>
      </c>
      <c r="B28">
        <v>191</v>
      </c>
      <c r="C28">
        <v>218</v>
      </c>
      <c r="M28">
        <v>82</v>
      </c>
      <c r="N28">
        <v>5.2574953720277797</v>
      </c>
      <c r="O28">
        <v>5.3890717298165001</v>
      </c>
      <c r="AL28">
        <v>90</v>
      </c>
      <c r="AM28">
        <v>0.74161481610216595</v>
      </c>
      <c r="AN28">
        <v>0.60469828407027704</v>
      </c>
      <c r="AX28">
        <v>32</v>
      </c>
      <c r="AY28">
        <v>0</v>
      </c>
      <c r="AZ28">
        <v>0</v>
      </c>
      <c r="BL28">
        <v>99</v>
      </c>
      <c r="BM28">
        <v>0.78740583555654897</v>
      </c>
      <c r="BN28">
        <v>0.48779537649129101</v>
      </c>
      <c r="BX28">
        <v>26</v>
      </c>
      <c r="BY28">
        <v>0</v>
      </c>
      <c r="BZ28">
        <v>2.3223877202902199</v>
      </c>
      <c r="CJ28" t="s">
        <v>231</v>
      </c>
    </row>
    <row r="29" spans="1:90" x14ac:dyDescent="0.3">
      <c r="A29">
        <v>83</v>
      </c>
      <c r="B29">
        <v>217</v>
      </c>
      <c r="C29">
        <v>245</v>
      </c>
      <c r="M29">
        <v>83</v>
      </c>
      <c r="N29">
        <v>5.38449506278908</v>
      </c>
      <c r="O29">
        <v>5.5053315359323598</v>
      </c>
      <c r="AL29">
        <v>96</v>
      </c>
      <c r="AM29">
        <v>1.03273169330855</v>
      </c>
      <c r="AN29">
        <v>0.78278586761508795</v>
      </c>
      <c r="AX29">
        <v>33</v>
      </c>
      <c r="AY29">
        <v>0</v>
      </c>
      <c r="AZ29">
        <v>0</v>
      </c>
      <c r="BL29">
        <v>90</v>
      </c>
      <c r="BM29">
        <v>0.85679629926735001</v>
      </c>
      <c r="BN29">
        <v>0.60469828407027704</v>
      </c>
      <c r="BX29">
        <v>27</v>
      </c>
      <c r="BY29">
        <v>3.1904763503465001</v>
      </c>
      <c r="BZ29">
        <v>3.2846635654062002</v>
      </c>
      <c r="CJ29" t="s">
        <v>232</v>
      </c>
    </row>
    <row r="30" spans="1:90" x14ac:dyDescent="0.3">
      <c r="A30">
        <v>84</v>
      </c>
      <c r="B30">
        <v>17</v>
      </c>
      <c r="C30">
        <v>35</v>
      </c>
      <c r="M30">
        <v>84</v>
      </c>
      <c r="N30">
        <v>2.8903717578961601</v>
      </c>
      <c r="O30">
        <v>3.5835189384561099</v>
      </c>
      <c r="AL30">
        <v>83</v>
      </c>
      <c r="AM30">
        <v>1.1202953811560601</v>
      </c>
      <c r="AN30">
        <v>1.07024702935071</v>
      </c>
      <c r="AX30">
        <v>34</v>
      </c>
      <c r="AY30">
        <v>0</v>
      </c>
      <c r="AZ30">
        <v>3.5457786104732598</v>
      </c>
      <c r="BL30">
        <v>96</v>
      </c>
      <c r="BM30">
        <v>1.0516369203547</v>
      </c>
      <c r="BN30">
        <v>0.78278586761508795</v>
      </c>
      <c r="BX30">
        <v>28</v>
      </c>
      <c r="BY30">
        <v>1.84054963339748</v>
      </c>
      <c r="BZ30">
        <v>1.84054963339748</v>
      </c>
      <c r="CJ30" t="s">
        <v>233</v>
      </c>
    </row>
    <row r="31" spans="1:90" x14ac:dyDescent="0.3">
      <c r="A31">
        <v>85</v>
      </c>
      <c r="B31">
        <v>222</v>
      </c>
      <c r="C31">
        <v>253</v>
      </c>
      <c r="M31">
        <v>85</v>
      </c>
      <c r="N31">
        <v>5.40717177146011</v>
      </c>
      <c r="O31">
        <v>5.5373342670185304</v>
      </c>
      <c r="AL31">
        <v>98</v>
      </c>
      <c r="AM31">
        <v>1.2789421261600999</v>
      </c>
      <c r="AN31">
        <v>1.0605093922464901</v>
      </c>
      <c r="AX31">
        <v>35</v>
      </c>
      <c r="AY31">
        <v>0</v>
      </c>
      <c r="AZ31">
        <v>0</v>
      </c>
      <c r="BL31">
        <v>76</v>
      </c>
      <c r="BM31">
        <v>1.47693868917697</v>
      </c>
      <c r="BN31">
        <v>0.80602001123523803</v>
      </c>
      <c r="BX31">
        <v>29</v>
      </c>
      <c r="BY31">
        <v>4.6259527251706096</v>
      </c>
      <c r="BZ31">
        <v>5.0600601774237699</v>
      </c>
    </row>
    <row r="32" spans="1:90" x14ac:dyDescent="0.3">
      <c r="A32">
        <v>86</v>
      </c>
      <c r="B32">
        <v>211</v>
      </c>
      <c r="C32">
        <v>254</v>
      </c>
      <c r="M32">
        <v>86</v>
      </c>
      <c r="N32">
        <v>5.3565862746720097</v>
      </c>
      <c r="O32">
        <v>5.5412635451584196</v>
      </c>
      <c r="AL32">
        <v>76</v>
      </c>
      <c r="AM32">
        <v>1.2818357330449299</v>
      </c>
      <c r="AN32">
        <v>0.80602001123523803</v>
      </c>
      <c r="AX32">
        <v>36</v>
      </c>
      <c r="AY32">
        <v>0</v>
      </c>
      <c r="AZ32">
        <v>0</v>
      </c>
      <c r="BL32">
        <v>64</v>
      </c>
      <c r="BM32">
        <v>1.5070558055305301</v>
      </c>
      <c r="BN32">
        <v>0.93059712752539303</v>
      </c>
      <c r="BX32">
        <v>30</v>
      </c>
      <c r="BY32">
        <v>2.38876278923509</v>
      </c>
      <c r="BZ32">
        <v>3.6988297849671001</v>
      </c>
    </row>
    <row r="33" spans="1:78" x14ac:dyDescent="0.3">
      <c r="A33">
        <v>87</v>
      </c>
      <c r="B33">
        <v>101</v>
      </c>
      <c r="C33">
        <v>103</v>
      </c>
      <c r="M33">
        <v>87</v>
      </c>
      <c r="N33">
        <v>4.6249728132842698</v>
      </c>
      <c r="O33">
        <v>4.6443908991413698</v>
      </c>
      <c r="AL33">
        <v>97</v>
      </c>
      <c r="AM33">
        <v>1.3492288580784999</v>
      </c>
      <c r="AN33">
        <v>1.03316010826186</v>
      </c>
      <c r="AX33">
        <v>39</v>
      </c>
      <c r="AY33">
        <v>0</v>
      </c>
      <c r="AZ33">
        <v>0</v>
      </c>
      <c r="BL33">
        <v>97</v>
      </c>
      <c r="BM33">
        <v>1.8664917585551599</v>
      </c>
      <c r="BN33">
        <v>1.03316010826186</v>
      </c>
      <c r="BX33">
        <v>31</v>
      </c>
      <c r="BY33">
        <v>1.45861502269951</v>
      </c>
      <c r="BZ33">
        <v>2.3025850929940401</v>
      </c>
    </row>
    <row r="34" spans="1:78" x14ac:dyDescent="0.3">
      <c r="A34">
        <v>88</v>
      </c>
      <c r="B34">
        <v>88</v>
      </c>
      <c r="C34">
        <v>100</v>
      </c>
      <c r="M34">
        <v>88</v>
      </c>
      <c r="N34">
        <v>4.4886363697321396</v>
      </c>
      <c r="O34">
        <v>4.6151205168412597</v>
      </c>
      <c r="AL34">
        <v>92</v>
      </c>
      <c r="AM34">
        <v>1.36872571691756</v>
      </c>
      <c r="AN34">
        <v>1.1977204853190999</v>
      </c>
      <c r="AX34">
        <v>40</v>
      </c>
      <c r="AY34">
        <v>0</v>
      </c>
      <c r="AZ34">
        <v>5.5412635451584196</v>
      </c>
      <c r="BL34">
        <v>17</v>
      </c>
      <c r="BM34">
        <v>3.0349529867072702</v>
      </c>
      <c r="BN34">
        <v>1.0483504538872199</v>
      </c>
      <c r="BX34">
        <v>32</v>
      </c>
      <c r="BY34">
        <v>0</v>
      </c>
      <c r="BZ34">
        <v>1.5892352051165799</v>
      </c>
    </row>
    <row r="35" spans="1:78" x14ac:dyDescent="0.3">
      <c r="A35">
        <v>90</v>
      </c>
      <c r="B35">
        <v>388</v>
      </c>
      <c r="C35">
        <v>400</v>
      </c>
      <c r="M35">
        <v>90</v>
      </c>
      <c r="N35">
        <v>5.9635793436184397</v>
      </c>
      <c r="O35">
        <v>5.9939614273065596</v>
      </c>
      <c r="AL35">
        <v>64</v>
      </c>
      <c r="AM35">
        <v>1.39060781137361</v>
      </c>
      <c r="AN35">
        <v>0.93059712752539303</v>
      </c>
      <c r="AX35">
        <v>41</v>
      </c>
      <c r="AY35">
        <v>0</v>
      </c>
      <c r="AZ35">
        <v>0</v>
      </c>
      <c r="BL35">
        <v>98</v>
      </c>
      <c r="BM35">
        <v>1.39952498410652</v>
      </c>
      <c r="BN35">
        <v>1.0605093922464901</v>
      </c>
      <c r="BX35">
        <v>33</v>
      </c>
      <c r="BY35">
        <v>2.7972813348301502</v>
      </c>
      <c r="BZ35">
        <v>3.2846635654062002</v>
      </c>
    </row>
    <row r="36" spans="1:78" x14ac:dyDescent="0.3">
      <c r="A36">
        <v>91</v>
      </c>
      <c r="B36">
        <v>119</v>
      </c>
      <c r="C36">
        <v>124</v>
      </c>
      <c r="M36">
        <v>91</v>
      </c>
      <c r="N36">
        <v>4.7874917427820396</v>
      </c>
      <c r="O36">
        <v>4.8283137373022997</v>
      </c>
      <c r="AL36">
        <v>80</v>
      </c>
      <c r="AM36">
        <v>1.4296662932734101</v>
      </c>
      <c r="AN36">
        <v>1.3260021308637699</v>
      </c>
      <c r="AX36">
        <v>42</v>
      </c>
      <c r="AY36">
        <v>0</v>
      </c>
      <c r="AZ36">
        <v>0</v>
      </c>
      <c r="BL36">
        <v>83</v>
      </c>
      <c r="BM36">
        <v>1.24381871287313</v>
      </c>
      <c r="BN36">
        <v>1.07024702935071</v>
      </c>
      <c r="BX36">
        <v>34</v>
      </c>
      <c r="BY36">
        <v>3.2188758248682001</v>
      </c>
      <c r="BZ36">
        <v>3.7232808808312599</v>
      </c>
    </row>
    <row r="37" spans="1:78" x14ac:dyDescent="0.3">
      <c r="A37">
        <v>92</v>
      </c>
      <c r="B37">
        <v>295</v>
      </c>
      <c r="C37">
        <v>300</v>
      </c>
      <c r="M37">
        <v>92</v>
      </c>
      <c r="N37">
        <v>5.6903594543240601</v>
      </c>
      <c r="O37">
        <v>5.7071102647488701</v>
      </c>
      <c r="AL37">
        <v>62</v>
      </c>
      <c r="AM37">
        <v>1.48040765269036</v>
      </c>
      <c r="AN37">
        <v>1.3813479371845601</v>
      </c>
      <c r="AX37">
        <v>44</v>
      </c>
      <c r="AY37">
        <v>0</v>
      </c>
      <c r="AZ37">
        <v>0</v>
      </c>
      <c r="BL37">
        <v>4</v>
      </c>
      <c r="BM37">
        <v>0</v>
      </c>
      <c r="BN37">
        <v>1.0986122886681</v>
      </c>
      <c r="BX37">
        <v>35</v>
      </c>
      <c r="BY37">
        <v>3.37758751602302</v>
      </c>
      <c r="BZ37">
        <v>4.0775374439057197</v>
      </c>
    </row>
    <row r="38" spans="1:78" x14ac:dyDescent="0.3">
      <c r="A38">
        <v>93</v>
      </c>
      <c r="B38">
        <v>199</v>
      </c>
      <c r="C38">
        <v>230</v>
      </c>
      <c r="M38">
        <v>93</v>
      </c>
      <c r="N38">
        <v>5.2983173665480301</v>
      </c>
      <c r="O38">
        <v>5.4424177105217897</v>
      </c>
      <c r="AL38">
        <v>86</v>
      </c>
      <c r="AM38">
        <v>1.52034688565469</v>
      </c>
      <c r="AN38">
        <v>1.39852122569791</v>
      </c>
      <c r="AX38">
        <v>46</v>
      </c>
      <c r="AY38">
        <v>0</v>
      </c>
      <c r="AZ38">
        <v>0</v>
      </c>
      <c r="BL38">
        <v>37</v>
      </c>
      <c r="BM38">
        <v>3.0155349008501702</v>
      </c>
      <c r="BN38">
        <v>1.16315080980568</v>
      </c>
      <c r="BX38">
        <v>36</v>
      </c>
      <c r="BY38">
        <v>3.0773122605464098</v>
      </c>
      <c r="BZ38">
        <v>3.2995337278856498</v>
      </c>
    </row>
    <row r="39" spans="1:78" x14ac:dyDescent="0.3">
      <c r="A39">
        <v>96</v>
      </c>
      <c r="B39">
        <v>556</v>
      </c>
      <c r="C39">
        <v>768</v>
      </c>
      <c r="M39">
        <v>96</v>
      </c>
      <c r="N39">
        <v>6.3225652399272798</v>
      </c>
      <c r="O39">
        <v>6.6450909695056399</v>
      </c>
      <c r="AL39">
        <v>93</v>
      </c>
      <c r="AM39">
        <v>1.5514594429923101</v>
      </c>
      <c r="AN39">
        <v>1.34905402135528</v>
      </c>
      <c r="AX39">
        <v>47</v>
      </c>
      <c r="AY39">
        <v>0</v>
      </c>
      <c r="AZ39">
        <v>6.8916258970522497</v>
      </c>
      <c r="BL39">
        <v>92</v>
      </c>
      <c r="BM39">
        <v>1.4466798343043099</v>
      </c>
      <c r="BN39">
        <v>1.1977204853190999</v>
      </c>
      <c r="BX39">
        <v>37</v>
      </c>
      <c r="BY39">
        <v>1.16315080980568</v>
      </c>
      <c r="BZ39">
        <v>2.3702437414678599</v>
      </c>
    </row>
    <row r="40" spans="1:78" x14ac:dyDescent="0.3">
      <c r="A40">
        <v>97</v>
      </c>
      <c r="B40">
        <v>47</v>
      </c>
      <c r="C40">
        <v>54</v>
      </c>
      <c r="M40">
        <v>97</v>
      </c>
      <c r="N40">
        <v>3.8712010109078898</v>
      </c>
      <c r="O40">
        <v>4.0073331852324703</v>
      </c>
      <c r="AL40">
        <v>79</v>
      </c>
      <c r="AM40">
        <v>1.6248089203106899</v>
      </c>
      <c r="AN40">
        <v>1.37943719139375</v>
      </c>
      <c r="AX40">
        <v>48</v>
      </c>
      <c r="AY40">
        <v>0</v>
      </c>
      <c r="AZ40">
        <v>6.9479370686149604</v>
      </c>
      <c r="BL40">
        <v>87</v>
      </c>
      <c r="BM40">
        <v>1.67023139136967</v>
      </c>
      <c r="BN40">
        <v>1.20350865950442</v>
      </c>
      <c r="BX40">
        <v>38</v>
      </c>
      <c r="BY40">
        <v>2.5952547069568599</v>
      </c>
      <c r="BZ40">
        <v>3.17805383034794</v>
      </c>
    </row>
    <row r="41" spans="1:78" x14ac:dyDescent="0.3">
      <c r="A41">
        <v>98</v>
      </c>
      <c r="B41">
        <v>265</v>
      </c>
      <c r="C41">
        <v>322</v>
      </c>
      <c r="M41">
        <v>98</v>
      </c>
      <c r="N41">
        <v>5.5834963087816902</v>
      </c>
      <c r="O41">
        <v>5.7776523232226502</v>
      </c>
      <c r="AL41">
        <v>61</v>
      </c>
      <c r="AM41">
        <v>1.63082910241541</v>
      </c>
      <c r="AN41">
        <v>1.4950275612563499</v>
      </c>
      <c r="AX41">
        <v>60</v>
      </c>
      <c r="AY41">
        <v>0</v>
      </c>
      <c r="AZ41">
        <v>0</v>
      </c>
      <c r="BL41">
        <v>78</v>
      </c>
      <c r="BM41">
        <v>2.1784446826846202</v>
      </c>
      <c r="BN41">
        <v>1.3233153813477501</v>
      </c>
      <c r="BX41">
        <v>39</v>
      </c>
      <c r="BY41">
        <v>3.2027464429383099</v>
      </c>
      <c r="BZ41">
        <v>3.81330703248898</v>
      </c>
    </row>
    <row r="42" spans="1:78" x14ac:dyDescent="0.3">
      <c r="A42">
        <v>99</v>
      </c>
      <c r="B42">
        <v>194</v>
      </c>
      <c r="C42">
        <v>272</v>
      </c>
      <c r="M42">
        <v>99</v>
      </c>
      <c r="N42">
        <v>5.2729995585637397</v>
      </c>
      <c r="O42">
        <v>5.6094717951849598</v>
      </c>
      <c r="AL42">
        <v>87</v>
      </c>
      <c r="AM42">
        <v>1.64544088952539</v>
      </c>
      <c r="AN42">
        <v>1.20350865950442</v>
      </c>
      <c r="AX42">
        <v>67</v>
      </c>
      <c r="AY42">
        <v>0</v>
      </c>
      <c r="AZ42">
        <v>3.6262438831224499</v>
      </c>
      <c r="BL42">
        <v>80</v>
      </c>
      <c r="BM42">
        <v>1.5546296759391001</v>
      </c>
      <c r="BN42">
        <v>1.3260021308637699</v>
      </c>
      <c r="BX42">
        <v>40</v>
      </c>
      <c r="BY42">
        <v>2.9014215940827399</v>
      </c>
      <c r="BZ42">
        <v>3.2733640101522701</v>
      </c>
    </row>
    <row r="43" spans="1:78" x14ac:dyDescent="0.3">
      <c r="A43">
        <v>100</v>
      </c>
      <c r="B43">
        <v>221</v>
      </c>
      <c r="C43">
        <v>256</v>
      </c>
      <c r="M43">
        <v>100</v>
      </c>
      <c r="N43">
        <v>5.4026773818722704</v>
      </c>
      <c r="O43">
        <v>5.5490760848952201</v>
      </c>
      <c r="AL43">
        <v>82</v>
      </c>
      <c r="AM43">
        <v>1.6460476580466601</v>
      </c>
      <c r="AN43">
        <v>1.3429975553665601</v>
      </c>
      <c r="AX43">
        <v>68</v>
      </c>
      <c r="AY43">
        <v>0</v>
      </c>
      <c r="AZ43">
        <v>6.2742911005833601</v>
      </c>
      <c r="BL43">
        <v>82</v>
      </c>
      <c r="BM43">
        <v>1.8581058231693299</v>
      </c>
      <c r="BN43">
        <v>1.3429975553665601</v>
      </c>
      <c r="BX43">
        <v>41</v>
      </c>
      <c r="BY43">
        <v>3.2268439945173699</v>
      </c>
      <c r="BZ43">
        <v>3.5918177412708001</v>
      </c>
    </row>
    <row r="44" spans="1:78" x14ac:dyDescent="0.3">
      <c r="A44" t="s">
        <v>140</v>
      </c>
      <c r="M44" t="s">
        <v>140</v>
      </c>
      <c r="AL44">
        <v>84</v>
      </c>
      <c r="AM44">
        <v>1.65716931525529</v>
      </c>
      <c r="AN44">
        <v>1.45213411861543</v>
      </c>
      <c r="AX44">
        <v>71</v>
      </c>
      <c r="AY44">
        <v>0</v>
      </c>
      <c r="AZ44">
        <v>6.0890448754468398</v>
      </c>
      <c r="BL44">
        <v>93</v>
      </c>
      <c r="BM44">
        <v>1.6605287116302101</v>
      </c>
      <c r="BN44">
        <v>1.34905402135528</v>
      </c>
      <c r="BX44">
        <v>42</v>
      </c>
      <c r="BY44">
        <v>0.87546873735389896</v>
      </c>
      <c r="BZ44">
        <v>1.7227665977411</v>
      </c>
    </row>
    <row r="45" spans="1:78" x14ac:dyDescent="0.3">
      <c r="A45" t="s">
        <v>141</v>
      </c>
      <c r="M45" t="s">
        <v>160</v>
      </c>
      <c r="AL45">
        <v>85</v>
      </c>
      <c r="AM45">
        <v>1.6758708758462799</v>
      </c>
      <c r="AN45">
        <v>1.3792917445916999</v>
      </c>
      <c r="AX45">
        <v>99</v>
      </c>
      <c r="AY45">
        <v>0.60434755294913201</v>
      </c>
      <c r="AZ45">
        <v>0.64562591327694996</v>
      </c>
      <c r="BL45">
        <v>85</v>
      </c>
      <c r="BM45">
        <v>1.7270486679625701</v>
      </c>
      <c r="BN45">
        <v>1.3792917445916999</v>
      </c>
      <c r="BX45">
        <v>43</v>
      </c>
      <c r="BY45">
        <v>3.6296600944539601</v>
      </c>
      <c r="BZ45">
        <v>4.3969152471676303</v>
      </c>
    </row>
    <row r="46" spans="1:78" x14ac:dyDescent="0.3">
      <c r="A46" t="s">
        <v>142</v>
      </c>
      <c r="M46" t="s">
        <v>161</v>
      </c>
      <c r="AL46">
        <v>73</v>
      </c>
      <c r="AM46">
        <v>1.7479326951887999</v>
      </c>
      <c r="AN46">
        <v>1.6181378223096401</v>
      </c>
      <c r="AX46">
        <v>90</v>
      </c>
      <c r="AY46">
        <v>0.70525177241617598</v>
      </c>
      <c r="AZ46">
        <v>0.74161481610216595</v>
      </c>
      <c r="BL46">
        <v>79</v>
      </c>
      <c r="BM46">
        <v>2.3157631853746001</v>
      </c>
      <c r="BN46">
        <v>1.37943719139375</v>
      </c>
      <c r="BX46">
        <v>44</v>
      </c>
      <c r="BY46">
        <v>2.9907197317304401</v>
      </c>
      <c r="BZ46">
        <v>3.1311369105601901</v>
      </c>
    </row>
    <row r="47" spans="1:78" x14ac:dyDescent="0.3">
      <c r="A47" t="s">
        <v>143</v>
      </c>
      <c r="M47" t="s">
        <v>162</v>
      </c>
      <c r="AL47">
        <v>91</v>
      </c>
      <c r="AM47">
        <v>1.7586325109295999</v>
      </c>
      <c r="AN47">
        <v>1.6338564397822399</v>
      </c>
      <c r="AX47">
        <v>96</v>
      </c>
      <c r="AY47">
        <v>0.798746673396588</v>
      </c>
      <c r="AZ47">
        <v>1.03273169330855</v>
      </c>
      <c r="BL47">
        <v>62</v>
      </c>
      <c r="BM47">
        <v>1.76171768432554</v>
      </c>
      <c r="BN47">
        <v>1.3813479371845601</v>
      </c>
      <c r="BX47">
        <v>45</v>
      </c>
      <c r="BY47">
        <v>1.5686159179138399</v>
      </c>
      <c r="BZ47">
        <v>1.6094379124341001</v>
      </c>
    </row>
    <row r="48" spans="1:78" x14ac:dyDescent="0.3">
      <c r="A48" t="s">
        <v>144</v>
      </c>
      <c r="M48" t="s">
        <v>163</v>
      </c>
      <c r="AL48">
        <v>19</v>
      </c>
      <c r="AM48">
        <v>1.8625285401162599</v>
      </c>
      <c r="AN48">
        <v>0</v>
      </c>
      <c r="AX48">
        <v>76</v>
      </c>
      <c r="AY48">
        <v>0.95874993964594601</v>
      </c>
      <c r="AZ48">
        <v>1.2818357330449299</v>
      </c>
      <c r="BL48">
        <v>86</v>
      </c>
      <c r="BM48">
        <v>1.7888482590205901</v>
      </c>
      <c r="BN48">
        <v>1.39852122569791</v>
      </c>
      <c r="BX48">
        <v>46</v>
      </c>
      <c r="BY48">
        <v>3.0445224377234199</v>
      </c>
      <c r="BZ48">
        <v>3.5204608024889699</v>
      </c>
    </row>
    <row r="49" spans="1:78" x14ac:dyDescent="0.3">
      <c r="A49" t="s">
        <v>145</v>
      </c>
      <c r="M49" t="s">
        <v>164</v>
      </c>
      <c r="AL49">
        <v>78</v>
      </c>
      <c r="AM49">
        <v>1.8919225551290999</v>
      </c>
      <c r="AN49">
        <v>1.3233153813477501</v>
      </c>
      <c r="AX49">
        <v>64</v>
      </c>
      <c r="AY49">
        <v>1.0255363083500399</v>
      </c>
      <c r="AZ49">
        <v>1.39060781137361</v>
      </c>
      <c r="BL49">
        <v>84</v>
      </c>
      <c r="BM49">
        <v>1.9617834982116</v>
      </c>
      <c r="BN49">
        <v>1.45213411861543</v>
      </c>
      <c r="BX49">
        <v>47</v>
      </c>
      <c r="BY49">
        <v>4.1399550734741499</v>
      </c>
      <c r="BZ49">
        <v>4.5981455710511199</v>
      </c>
    </row>
    <row r="50" spans="1:78" x14ac:dyDescent="0.3">
      <c r="A50" t="s">
        <v>146</v>
      </c>
      <c r="M50" t="s">
        <v>165</v>
      </c>
      <c r="AL50">
        <v>17</v>
      </c>
      <c r="AM50">
        <v>1.9203768470501399</v>
      </c>
      <c r="AN50">
        <v>1.0483504538872199</v>
      </c>
      <c r="AX50">
        <v>98</v>
      </c>
      <c r="AY50">
        <v>1.1703391183363401</v>
      </c>
      <c r="AZ50">
        <v>1.2789421261600999</v>
      </c>
      <c r="BL50">
        <v>61</v>
      </c>
      <c r="BM50">
        <v>2.0680128458562099</v>
      </c>
      <c r="BN50">
        <v>1.4950275612563499</v>
      </c>
      <c r="BX50">
        <v>48</v>
      </c>
      <c r="BY50">
        <v>3.3178157727231001</v>
      </c>
      <c r="BZ50">
        <v>4.6539603501575204</v>
      </c>
    </row>
    <row r="51" spans="1:78" x14ac:dyDescent="0.3">
      <c r="A51" t="s">
        <v>147</v>
      </c>
      <c r="M51" t="s">
        <v>166</v>
      </c>
      <c r="AL51">
        <v>100</v>
      </c>
      <c r="AM51">
        <v>2.0252613349958501</v>
      </c>
      <c r="AN51">
        <v>1.77278079739816</v>
      </c>
      <c r="AX51">
        <v>83</v>
      </c>
      <c r="AY51">
        <v>1.19087932757891</v>
      </c>
      <c r="AZ51">
        <v>1.1202953811560601</v>
      </c>
      <c r="BL51">
        <v>73</v>
      </c>
      <c r="BM51">
        <v>1.8700720726638</v>
      </c>
      <c r="BN51">
        <v>1.6181378223096401</v>
      </c>
      <c r="BX51">
        <v>49</v>
      </c>
      <c r="BY51">
        <v>3.7062280924485398</v>
      </c>
      <c r="BZ51">
        <v>4.0604430105464102</v>
      </c>
    </row>
    <row r="52" spans="1:78" x14ac:dyDescent="0.3">
      <c r="A52" t="s">
        <v>148</v>
      </c>
      <c r="M52" t="s">
        <v>167</v>
      </c>
      <c r="AL52">
        <v>59</v>
      </c>
      <c r="AM52">
        <v>2.07405069304495</v>
      </c>
      <c r="AN52">
        <v>1.7154433813551699</v>
      </c>
      <c r="AX52">
        <v>87</v>
      </c>
      <c r="AY52">
        <v>1.2250411655650899</v>
      </c>
      <c r="AZ52">
        <v>1.64544088952539</v>
      </c>
      <c r="BL52">
        <v>91</v>
      </c>
      <c r="BM52">
        <v>1.79292974437624</v>
      </c>
      <c r="BN52">
        <v>1.6338564397822399</v>
      </c>
      <c r="BX52">
        <v>50</v>
      </c>
      <c r="BY52">
        <v>3.3068867021909099</v>
      </c>
      <c r="BZ52">
        <v>4.1222839309113404</v>
      </c>
    </row>
    <row r="53" spans="1:78" x14ac:dyDescent="0.3">
      <c r="A53" t="s">
        <v>149</v>
      </c>
      <c r="M53" t="s">
        <v>168</v>
      </c>
      <c r="AL53">
        <v>81</v>
      </c>
      <c r="AM53">
        <v>2.1372272687578402</v>
      </c>
      <c r="AN53">
        <v>1.7811613382362299</v>
      </c>
      <c r="AX53">
        <v>92</v>
      </c>
      <c r="AY53">
        <v>1.2708903530879201</v>
      </c>
      <c r="AZ53">
        <v>1.36872571691756</v>
      </c>
      <c r="BL53">
        <v>53</v>
      </c>
      <c r="BM53">
        <v>3.47978765625537</v>
      </c>
      <c r="BN53">
        <v>1.69446055824125</v>
      </c>
      <c r="BX53">
        <v>52</v>
      </c>
      <c r="BY53">
        <v>3.0819099697950398</v>
      </c>
      <c r="BZ53">
        <v>3.8437441646748498</v>
      </c>
    </row>
    <row r="54" spans="1:78" x14ac:dyDescent="0.3">
      <c r="AL54">
        <v>88</v>
      </c>
      <c r="AM54">
        <v>2.1998321407432999</v>
      </c>
      <c r="AN54">
        <v>1.9778453275569099</v>
      </c>
      <c r="AX54">
        <v>85</v>
      </c>
      <c r="AY54">
        <v>1.4264960082257101</v>
      </c>
      <c r="AZ54">
        <v>1.6758708758462799</v>
      </c>
      <c r="BL54">
        <v>59</v>
      </c>
      <c r="BM54">
        <v>2.1326009099599301</v>
      </c>
      <c r="BN54">
        <v>1.7154433813551699</v>
      </c>
      <c r="BX54">
        <v>53</v>
      </c>
      <c r="BY54">
        <v>4.2209772131554599</v>
      </c>
      <c r="BZ54">
        <v>5.1221766688291597</v>
      </c>
    </row>
    <row r="55" spans="1:78" x14ac:dyDescent="0.3">
      <c r="AL55">
        <v>75</v>
      </c>
      <c r="AM55">
        <v>2.2918405537110602</v>
      </c>
      <c r="AN55">
        <v>2.2140458318263598</v>
      </c>
      <c r="AX55">
        <v>80</v>
      </c>
      <c r="AY55">
        <v>1.44691898293632</v>
      </c>
      <c r="AZ55">
        <v>1.4296662932734101</v>
      </c>
      <c r="BL55">
        <v>11</v>
      </c>
      <c r="BM55">
        <v>2.8247744754103499</v>
      </c>
      <c r="BN55">
        <v>1.7616820139907701</v>
      </c>
      <c r="BX55">
        <v>57</v>
      </c>
      <c r="BY55">
        <v>4.5612182984588996</v>
      </c>
      <c r="BZ55">
        <v>4.8812856220684004</v>
      </c>
    </row>
    <row r="56" spans="1:78" x14ac:dyDescent="0.3">
      <c r="AL56">
        <v>37</v>
      </c>
      <c r="AM56">
        <v>2.3702437414678599</v>
      </c>
      <c r="AN56">
        <v>1.16315080980568</v>
      </c>
      <c r="AX56">
        <v>93</v>
      </c>
      <c r="AY56">
        <v>1.45186932471789</v>
      </c>
      <c r="AZ56">
        <v>1.5514594429923101</v>
      </c>
      <c r="BL56">
        <v>100</v>
      </c>
      <c r="BM56">
        <v>2.2684372055614799</v>
      </c>
      <c r="BN56">
        <v>1.77278079739816</v>
      </c>
      <c r="BX56">
        <v>58</v>
      </c>
      <c r="BY56">
        <v>4.4284330074880298</v>
      </c>
      <c r="BZ56">
        <v>4.9829214555287402</v>
      </c>
    </row>
    <row r="57" spans="1:78" x14ac:dyDescent="0.3">
      <c r="AL57">
        <v>11</v>
      </c>
      <c r="AM57">
        <v>2.38569999970455</v>
      </c>
      <c r="AN57">
        <v>1.7616820139907701</v>
      </c>
      <c r="AX57">
        <v>97</v>
      </c>
      <c r="AY57">
        <v>1.49639771010204</v>
      </c>
      <c r="AZ57">
        <v>1.3492288580784999</v>
      </c>
      <c r="BL57">
        <v>81</v>
      </c>
      <c r="BM57">
        <v>2.5822300279011698</v>
      </c>
      <c r="BN57">
        <v>1.7811613382362299</v>
      </c>
      <c r="BX57">
        <v>59</v>
      </c>
      <c r="BY57">
        <v>3.7704594411063499</v>
      </c>
      <c r="BZ57">
        <v>4.1850989254905597</v>
      </c>
    </row>
    <row r="58" spans="1:78" x14ac:dyDescent="0.3">
      <c r="AL58">
        <v>4</v>
      </c>
      <c r="AM58">
        <v>2.40794560865187</v>
      </c>
      <c r="AN58">
        <v>1.0986122886681</v>
      </c>
      <c r="AX58">
        <v>82</v>
      </c>
      <c r="AY58">
        <v>1.5387669066382399</v>
      </c>
      <c r="AZ58">
        <v>1.6460476580466601</v>
      </c>
      <c r="BL58">
        <v>88</v>
      </c>
      <c r="BM58">
        <v>2.3090538012311099</v>
      </c>
      <c r="BN58">
        <v>1.9778453275569099</v>
      </c>
      <c r="BX58">
        <v>60</v>
      </c>
      <c r="BY58">
        <v>1.68639895357022</v>
      </c>
      <c r="BZ58">
        <v>2.50143595173921</v>
      </c>
    </row>
    <row r="59" spans="1:78" x14ac:dyDescent="0.3">
      <c r="AL59">
        <v>53</v>
      </c>
      <c r="AM59">
        <v>2.4882124379224999</v>
      </c>
      <c r="AN59">
        <v>1.69446055824125</v>
      </c>
      <c r="AX59">
        <v>78</v>
      </c>
      <c r="AY59">
        <v>1.57537596297156</v>
      </c>
      <c r="AZ59">
        <v>1.8919225551290999</v>
      </c>
      <c r="BL59">
        <v>69</v>
      </c>
      <c r="BM59">
        <v>2.60783348916372</v>
      </c>
      <c r="BN59">
        <v>2.0213860254203402</v>
      </c>
      <c r="BX59">
        <v>61</v>
      </c>
      <c r="BY59">
        <v>2.6246685921631498</v>
      </c>
      <c r="BZ59">
        <v>2.7850112422383302</v>
      </c>
    </row>
    <row r="60" spans="1:78" x14ac:dyDescent="0.3">
      <c r="AL60">
        <v>70</v>
      </c>
      <c r="AM60">
        <v>2.53163708099442</v>
      </c>
      <c r="AN60">
        <v>2.3653859942330699</v>
      </c>
      <c r="AX60">
        <v>62</v>
      </c>
      <c r="AY60">
        <v>1.65510794926728</v>
      </c>
      <c r="AZ60">
        <v>1.48040765269036</v>
      </c>
      <c r="BL60">
        <v>75</v>
      </c>
      <c r="BM60">
        <v>2.51943436703686</v>
      </c>
      <c r="BN60">
        <v>2.2140458318263598</v>
      </c>
      <c r="BX60">
        <v>62</v>
      </c>
      <c r="BY60">
        <v>3.8351419610921802</v>
      </c>
      <c r="BZ60">
        <v>3.9627161197436598</v>
      </c>
    </row>
    <row r="61" spans="1:78" x14ac:dyDescent="0.3">
      <c r="AL61">
        <v>69</v>
      </c>
      <c r="AM61">
        <v>2.57335669329751</v>
      </c>
      <c r="AN61">
        <v>2.0213860254203402</v>
      </c>
      <c r="AX61">
        <v>86</v>
      </c>
      <c r="AY61">
        <v>1.65844953602199</v>
      </c>
      <c r="AZ61">
        <v>1.52034688565469</v>
      </c>
      <c r="BL61">
        <v>22</v>
      </c>
      <c r="BM61">
        <v>0</v>
      </c>
      <c r="BN61">
        <v>2.25129179860649</v>
      </c>
      <c r="BX61">
        <v>64</v>
      </c>
      <c r="BY61">
        <v>3.99452422693988</v>
      </c>
      <c r="BZ61">
        <v>4.6606048928761901</v>
      </c>
    </row>
    <row r="62" spans="1:78" x14ac:dyDescent="0.3">
      <c r="AL62">
        <v>49</v>
      </c>
      <c r="AM62">
        <v>2.6358052942288799</v>
      </c>
      <c r="AN62">
        <v>2.3048552415285801</v>
      </c>
      <c r="AX62">
        <v>91</v>
      </c>
      <c r="AY62">
        <v>1.6672206434474399</v>
      </c>
      <c r="AZ62">
        <v>1.7586325109295999</v>
      </c>
      <c r="BL62">
        <v>49</v>
      </c>
      <c r="BM62">
        <v>3.7308436532129599</v>
      </c>
      <c r="BN62">
        <v>2.3048552415285801</v>
      </c>
      <c r="BX62">
        <v>67</v>
      </c>
      <c r="BY62">
        <v>4.9444954915917103</v>
      </c>
      <c r="BZ62">
        <v>5.0408411361533201</v>
      </c>
    </row>
    <row r="63" spans="1:78" x14ac:dyDescent="0.3">
      <c r="AL63">
        <v>45</v>
      </c>
      <c r="AM63">
        <v>3.0445224377234199</v>
      </c>
      <c r="AN63">
        <v>2.99573227355399</v>
      </c>
      <c r="AX63">
        <v>37</v>
      </c>
      <c r="AY63">
        <v>1.68639895357022</v>
      </c>
      <c r="AZ63">
        <v>2.3702437414678599</v>
      </c>
      <c r="BL63">
        <v>70</v>
      </c>
      <c r="BM63">
        <v>2.81090758654191</v>
      </c>
      <c r="BN63">
        <v>2.3653859942330699</v>
      </c>
      <c r="BX63">
        <v>68</v>
      </c>
      <c r="BY63">
        <v>5.1503972364714103</v>
      </c>
      <c r="BZ63">
        <v>5.3608225718994298</v>
      </c>
    </row>
    <row r="64" spans="1:78" x14ac:dyDescent="0.3">
      <c r="AL64">
        <v>7</v>
      </c>
      <c r="AM64">
        <v>3.09819385451594</v>
      </c>
      <c r="AN64">
        <v>2.6200814281562499</v>
      </c>
      <c r="AX64">
        <v>73</v>
      </c>
      <c r="AY64">
        <v>1.7369116687283801</v>
      </c>
      <c r="AZ64">
        <v>1.7479326951887999</v>
      </c>
      <c r="BL64">
        <v>7</v>
      </c>
      <c r="BM64">
        <v>4.62005879848184</v>
      </c>
      <c r="BN64">
        <v>2.6200814281562499</v>
      </c>
      <c r="BX64">
        <v>69</v>
      </c>
      <c r="BY64">
        <v>4.0018637094279299</v>
      </c>
      <c r="BZ64">
        <v>4.60816569496789</v>
      </c>
    </row>
    <row r="65" spans="38:78" x14ac:dyDescent="0.3">
      <c r="AL65">
        <v>6</v>
      </c>
      <c r="AM65">
        <v>3.2027464429383099</v>
      </c>
      <c r="AN65">
        <v>3.0819099697950398</v>
      </c>
      <c r="AX65">
        <v>84</v>
      </c>
      <c r="AY65">
        <v>1.74256922503728</v>
      </c>
      <c r="AZ65">
        <v>1.65716931525529</v>
      </c>
      <c r="BL65">
        <v>50</v>
      </c>
      <c r="BM65">
        <v>4.0285931846593197</v>
      </c>
      <c r="BN65">
        <v>2.6497146240892402</v>
      </c>
      <c r="BX65">
        <v>70</v>
      </c>
      <c r="BY65">
        <v>3.9721769282478898</v>
      </c>
      <c r="BZ65">
        <v>4.1510399058986396</v>
      </c>
    </row>
    <row r="66" spans="38:78" x14ac:dyDescent="0.3">
      <c r="AL66">
        <v>50</v>
      </c>
      <c r="AM66">
        <v>3.4452142670789199</v>
      </c>
      <c r="AN66">
        <v>2.6497146240892402</v>
      </c>
      <c r="AX66">
        <v>59</v>
      </c>
      <c r="AY66">
        <v>1.77046147154912</v>
      </c>
      <c r="AZ66">
        <v>2.07405069304495</v>
      </c>
      <c r="BL66">
        <v>38</v>
      </c>
      <c r="BM66">
        <v>4.3524261648975902</v>
      </c>
      <c r="BN66">
        <v>2.9292871741458302</v>
      </c>
      <c r="BX66">
        <v>71</v>
      </c>
      <c r="BY66">
        <v>5.1071568610868701</v>
      </c>
      <c r="BZ66">
        <v>5.3981627015177498</v>
      </c>
    </row>
    <row r="67" spans="38:78" x14ac:dyDescent="0.3">
      <c r="AL67">
        <v>74</v>
      </c>
      <c r="AM67">
        <v>3.49144425950993</v>
      </c>
      <c r="AN67">
        <v>3.19935315837933</v>
      </c>
      <c r="AX67">
        <v>61</v>
      </c>
      <c r="AY67">
        <v>1.9195928407379399</v>
      </c>
      <c r="AZ67">
        <v>1.63082910241541</v>
      </c>
      <c r="BL67">
        <v>45</v>
      </c>
      <c r="BM67">
        <v>3.0445224377234199</v>
      </c>
      <c r="BN67">
        <v>2.99573227355399</v>
      </c>
      <c r="BX67">
        <v>72</v>
      </c>
      <c r="BY67">
        <v>5.6740103163225299</v>
      </c>
      <c r="BZ67">
        <v>5.7104270173748697</v>
      </c>
    </row>
    <row r="68" spans="38:78" x14ac:dyDescent="0.3">
      <c r="AL68">
        <v>38</v>
      </c>
      <c r="AM68">
        <v>3.5221499920798101</v>
      </c>
      <c r="AN68">
        <v>2.9292871741458302</v>
      </c>
      <c r="AX68">
        <v>17</v>
      </c>
      <c r="AY68">
        <v>1.9878743481543399</v>
      </c>
      <c r="AZ68">
        <v>1.9203768470501399</v>
      </c>
      <c r="BL68">
        <v>34</v>
      </c>
      <c r="BM68">
        <v>0</v>
      </c>
      <c r="BN68">
        <v>3.0445224377234199</v>
      </c>
      <c r="BX68">
        <v>73</v>
      </c>
      <c r="BY68">
        <v>4.4343818650077997</v>
      </c>
      <c r="BZ68">
        <v>4.5920849464394298</v>
      </c>
    </row>
    <row r="69" spans="38:78" x14ac:dyDescent="0.3">
      <c r="AL69">
        <v>34</v>
      </c>
      <c r="AM69">
        <v>3.5457786104732598</v>
      </c>
      <c r="AN69">
        <v>3.0445224377234199</v>
      </c>
      <c r="AX69">
        <v>100</v>
      </c>
      <c r="AY69">
        <v>2.0064867505111001</v>
      </c>
      <c r="AZ69">
        <v>2.0252613349958501</v>
      </c>
      <c r="BL69">
        <v>6</v>
      </c>
      <c r="BM69">
        <v>0</v>
      </c>
      <c r="BN69">
        <v>3.0819099697950398</v>
      </c>
      <c r="BX69">
        <v>74</v>
      </c>
      <c r="BY69">
        <v>4.9565310351030503</v>
      </c>
      <c r="BZ69">
        <v>5.2574953720277797</v>
      </c>
    </row>
    <row r="70" spans="38:78" x14ac:dyDescent="0.3">
      <c r="AL70">
        <v>22</v>
      </c>
      <c r="AM70">
        <v>3.55534806148941</v>
      </c>
      <c r="AN70">
        <v>2.25129179860649</v>
      </c>
      <c r="AX70">
        <v>79</v>
      </c>
      <c r="AY70">
        <v>2.0357721724029401</v>
      </c>
      <c r="AZ70">
        <v>1.6248089203106899</v>
      </c>
      <c r="BL70">
        <v>58</v>
      </c>
      <c r="BM70">
        <v>3.8658101622730099</v>
      </c>
      <c r="BN70">
        <v>3.17805383034794</v>
      </c>
      <c r="BX70">
        <v>75</v>
      </c>
      <c r="BY70">
        <v>4.68027765847489</v>
      </c>
      <c r="BZ70">
        <v>4.76643833358421</v>
      </c>
    </row>
    <row r="71" spans="38:78" x14ac:dyDescent="0.3">
      <c r="AL71">
        <v>67</v>
      </c>
      <c r="AM71">
        <v>3.6262438831224499</v>
      </c>
      <c r="AN71">
        <v>3.5319471313248001</v>
      </c>
      <c r="AX71">
        <v>69</v>
      </c>
      <c r="AY71">
        <v>2.0537991110664899</v>
      </c>
      <c r="AZ71">
        <v>2.57335669329751</v>
      </c>
      <c r="BL71">
        <v>74</v>
      </c>
      <c r="BM71">
        <v>3.6119372807243302</v>
      </c>
      <c r="BN71">
        <v>3.19935315837933</v>
      </c>
      <c r="BX71">
        <v>76</v>
      </c>
      <c r="BY71">
        <v>3.9963641538618901</v>
      </c>
      <c r="BZ71">
        <v>4.7291561657690799</v>
      </c>
    </row>
    <row r="72" spans="38:78" x14ac:dyDescent="0.3">
      <c r="AL72">
        <v>72</v>
      </c>
      <c r="AM72">
        <v>3.6418007874596698</v>
      </c>
      <c r="AN72">
        <v>3.6062356298423</v>
      </c>
      <c r="AX72">
        <v>88</v>
      </c>
      <c r="AY72">
        <v>2.0838565598889498</v>
      </c>
      <c r="AZ72">
        <v>2.1998321407432999</v>
      </c>
      <c r="BL72">
        <v>5</v>
      </c>
      <c r="BM72">
        <v>0</v>
      </c>
      <c r="BN72">
        <v>3.2958368660043198</v>
      </c>
      <c r="BX72">
        <v>78</v>
      </c>
      <c r="BY72">
        <v>4.4236483093647001</v>
      </c>
      <c r="BZ72">
        <v>5.1322627822179498</v>
      </c>
    </row>
    <row r="73" spans="38:78" x14ac:dyDescent="0.3">
      <c r="AL73">
        <v>58</v>
      </c>
      <c r="AM73">
        <v>3.7196511127806899</v>
      </c>
      <c r="AN73">
        <v>3.17805383034794</v>
      </c>
      <c r="AX73">
        <v>11</v>
      </c>
      <c r="AY73">
        <v>2.1690537003695201</v>
      </c>
      <c r="AZ73">
        <v>2.38569999970455</v>
      </c>
      <c r="BL73">
        <v>57</v>
      </c>
      <c r="BM73">
        <v>3.8652308439213798</v>
      </c>
      <c r="BN73">
        <v>3.4515224655496701</v>
      </c>
      <c r="BX73">
        <v>79</v>
      </c>
      <c r="BY73">
        <v>4.8790068516178096</v>
      </c>
      <c r="BZ73">
        <v>5.1929568508902104</v>
      </c>
    </row>
    <row r="74" spans="38:78" x14ac:dyDescent="0.3">
      <c r="AL74">
        <v>5</v>
      </c>
      <c r="AM74">
        <v>3.7455747977904799</v>
      </c>
      <c r="AN74">
        <v>3.2958368660043198</v>
      </c>
      <c r="AX74">
        <v>81</v>
      </c>
      <c r="AY74">
        <v>2.2054012377734602</v>
      </c>
      <c r="AZ74">
        <v>2.1372272687578402</v>
      </c>
      <c r="BL74">
        <v>3</v>
      </c>
      <c r="BM74">
        <v>0</v>
      </c>
      <c r="BN74">
        <v>3.5115454388310199</v>
      </c>
      <c r="BX74">
        <v>80</v>
      </c>
      <c r="BY74">
        <v>4.3694478524670197</v>
      </c>
      <c r="BZ74">
        <v>4.5064542130489302</v>
      </c>
    </row>
    <row r="75" spans="38:78" x14ac:dyDescent="0.3">
      <c r="AL75">
        <v>57</v>
      </c>
      <c r="AM75">
        <v>3.7656911412060201</v>
      </c>
      <c r="AN75">
        <v>3.4515224655496701</v>
      </c>
      <c r="AX75">
        <v>75</v>
      </c>
      <c r="AY75">
        <v>2.4397862145075302</v>
      </c>
      <c r="AZ75">
        <v>2.2918405537110602</v>
      </c>
      <c r="BL75">
        <v>31</v>
      </c>
      <c r="BM75">
        <v>0</v>
      </c>
      <c r="BN75">
        <v>3.5263605246161598</v>
      </c>
      <c r="BX75">
        <v>81</v>
      </c>
      <c r="BY75">
        <v>5.1053392295655504</v>
      </c>
      <c r="BZ75">
        <v>5.51825578691329</v>
      </c>
    </row>
    <row r="76" spans="38:78" x14ac:dyDescent="0.3">
      <c r="AL76">
        <v>28</v>
      </c>
      <c r="AM76">
        <v>3.9889840465642701</v>
      </c>
      <c r="AN76">
        <v>3.9889840465642701</v>
      </c>
      <c r="AX76">
        <v>53</v>
      </c>
      <c r="AY76">
        <v>2.61449947883359</v>
      </c>
      <c r="AZ76">
        <v>2.4882124379224999</v>
      </c>
      <c r="BL76">
        <v>67</v>
      </c>
      <c r="BM76">
        <v>0</v>
      </c>
      <c r="BN76">
        <v>3.5319471313248001</v>
      </c>
      <c r="BX76">
        <v>82</v>
      </c>
      <c r="BY76">
        <v>5.4587340879539399</v>
      </c>
      <c r="BZ76">
        <v>5.8487482449063801</v>
      </c>
    </row>
    <row r="77" spans="38:78" x14ac:dyDescent="0.3">
      <c r="AL77">
        <v>31</v>
      </c>
      <c r="AM77">
        <v>4.5108595065168497</v>
      </c>
      <c r="AN77">
        <v>3.5263605246161598</v>
      </c>
      <c r="AX77">
        <v>70</v>
      </c>
      <c r="AY77">
        <v>2.6408414514087601</v>
      </c>
      <c r="AZ77">
        <v>2.53163708099442</v>
      </c>
      <c r="BL77">
        <v>72</v>
      </c>
      <c r="BM77">
        <v>4.3340174154875202</v>
      </c>
      <c r="BN77">
        <v>3.6062356298423</v>
      </c>
      <c r="BX77">
        <v>83</v>
      </c>
      <c r="BY77">
        <v>5.1357984370502603</v>
      </c>
      <c r="BZ77">
        <v>5.2105784522400302</v>
      </c>
    </row>
    <row r="78" spans="38:78" x14ac:dyDescent="0.3">
      <c r="AL78">
        <v>52</v>
      </c>
      <c r="AM78">
        <v>4.7471036818767498</v>
      </c>
      <c r="AN78">
        <v>3.9702919135521202</v>
      </c>
      <c r="AX78">
        <v>45</v>
      </c>
      <c r="AY78">
        <v>2.99573227355399</v>
      </c>
      <c r="AZ78">
        <v>3.0445224377234199</v>
      </c>
      <c r="BL78">
        <v>30</v>
      </c>
      <c r="BM78">
        <v>0</v>
      </c>
      <c r="BN78">
        <v>3.9219733362813098</v>
      </c>
      <c r="BX78">
        <v>84</v>
      </c>
      <c r="BY78">
        <v>4.0926765051213998</v>
      </c>
      <c r="BZ78">
        <v>4.3489867805956797</v>
      </c>
    </row>
    <row r="79" spans="38:78" x14ac:dyDescent="0.3">
      <c r="AL79">
        <v>43</v>
      </c>
      <c r="AM79">
        <v>4.7498887680031698</v>
      </c>
      <c r="AN79">
        <v>3.9783456483592099</v>
      </c>
      <c r="AX79">
        <v>50</v>
      </c>
      <c r="AY79">
        <v>3.21523283358969</v>
      </c>
      <c r="AZ79">
        <v>3.4452142670789199</v>
      </c>
      <c r="BL79">
        <v>52</v>
      </c>
      <c r="BM79">
        <v>5.0326142008150301</v>
      </c>
      <c r="BN79">
        <v>3.9702919135521202</v>
      </c>
      <c r="BX79">
        <v>85</v>
      </c>
      <c r="BY79">
        <v>5.5049249492221399</v>
      </c>
      <c r="BZ79">
        <v>5.8830437981535599</v>
      </c>
    </row>
    <row r="80" spans="38:78" x14ac:dyDescent="0.3">
      <c r="AL80">
        <v>3</v>
      </c>
      <c r="AM80">
        <v>4.7621739347977501</v>
      </c>
      <c r="AN80">
        <v>3.5115454388310199</v>
      </c>
      <c r="AX80">
        <v>74</v>
      </c>
      <c r="AY80">
        <v>3.3186357809691298</v>
      </c>
      <c r="AZ80">
        <v>3.49144425950993</v>
      </c>
      <c r="BL80">
        <v>43</v>
      </c>
      <c r="BM80">
        <v>4.9028025892930396</v>
      </c>
      <c r="BN80">
        <v>3.9783456483592099</v>
      </c>
      <c r="BX80">
        <v>86</v>
      </c>
      <c r="BY80">
        <v>5.9042713354055998</v>
      </c>
      <c r="BZ80">
        <v>6.0626217414243104</v>
      </c>
    </row>
    <row r="81" spans="38:78" x14ac:dyDescent="0.3">
      <c r="AL81">
        <v>23</v>
      </c>
      <c r="AM81">
        <v>5.1313769117923798</v>
      </c>
      <c r="AN81">
        <v>3.9796816539019599</v>
      </c>
      <c r="AX81">
        <v>58</v>
      </c>
      <c r="AY81">
        <v>3.3217817174990998</v>
      </c>
      <c r="AZ81">
        <v>3.7196511127806899</v>
      </c>
      <c r="BL81">
        <v>23</v>
      </c>
      <c r="BM81">
        <v>5.4175807873748498</v>
      </c>
      <c r="BN81">
        <v>3.9796816539019599</v>
      </c>
      <c r="BX81">
        <v>87</v>
      </c>
      <c r="BY81">
        <v>4.62005879848184</v>
      </c>
      <c r="BZ81">
        <v>5.2001531177607996</v>
      </c>
    </row>
    <row r="82" spans="38:78" x14ac:dyDescent="0.3">
      <c r="AL82">
        <v>30</v>
      </c>
      <c r="AM82">
        <v>5.2882670306945299</v>
      </c>
      <c r="AN82">
        <v>3.9219733362813098</v>
      </c>
      <c r="AX82">
        <v>49</v>
      </c>
      <c r="AY82">
        <v>3.37953588488097</v>
      </c>
      <c r="AZ82">
        <v>2.6358052942288799</v>
      </c>
      <c r="BL82">
        <v>28</v>
      </c>
      <c r="BM82">
        <v>0</v>
      </c>
      <c r="BN82">
        <v>3.9889840465642701</v>
      </c>
      <c r="BX82">
        <v>88</v>
      </c>
      <c r="BY82">
        <v>5.4785534168509598</v>
      </c>
      <c r="BZ82">
        <v>5.7310733348921001</v>
      </c>
    </row>
    <row r="83" spans="38:78" x14ac:dyDescent="0.3">
      <c r="AL83">
        <v>15</v>
      </c>
      <c r="AM83">
        <v>5.4694656227438596</v>
      </c>
      <c r="AN83">
        <v>4.4923746918427403</v>
      </c>
      <c r="AX83">
        <v>57</v>
      </c>
      <c r="AY83">
        <v>3.5502329608226399</v>
      </c>
      <c r="AZ83">
        <v>3.7656911412060201</v>
      </c>
      <c r="BL83">
        <v>15</v>
      </c>
      <c r="BM83">
        <v>6.5652649700353596</v>
      </c>
      <c r="BN83">
        <v>4.4923746918427403</v>
      </c>
      <c r="BX83">
        <v>90</v>
      </c>
      <c r="BY83">
        <v>4.9985627128619798</v>
      </c>
      <c r="BZ83">
        <v>5.2770937300964098</v>
      </c>
    </row>
    <row r="84" spans="38:78" x14ac:dyDescent="0.3">
      <c r="AL84">
        <v>40</v>
      </c>
      <c r="AM84">
        <v>5.5412635451584196</v>
      </c>
      <c r="AN84">
        <v>5.1532915944977704</v>
      </c>
      <c r="AX84">
        <v>38</v>
      </c>
      <c r="AY84">
        <v>3.7455747977904799</v>
      </c>
      <c r="AZ84">
        <v>3.5221499920798101</v>
      </c>
      <c r="BL84">
        <v>40</v>
      </c>
      <c r="BM84">
        <v>0</v>
      </c>
      <c r="BN84">
        <v>5.1532915944977704</v>
      </c>
      <c r="BX84">
        <v>91</v>
      </c>
      <c r="BY84">
        <v>5.2176494634805799</v>
      </c>
      <c r="BZ84">
        <v>5.3697073626347098</v>
      </c>
    </row>
    <row r="85" spans="38:78" x14ac:dyDescent="0.3">
      <c r="AL85">
        <v>27</v>
      </c>
      <c r="AM85">
        <v>5.5529595849216102</v>
      </c>
      <c r="AN85">
        <v>5.4553211153576999</v>
      </c>
      <c r="AX85">
        <v>7</v>
      </c>
      <c r="AY85">
        <v>4.1190371748124699</v>
      </c>
      <c r="AZ85">
        <v>3.09819385451594</v>
      </c>
      <c r="BL85">
        <v>14</v>
      </c>
      <c r="BM85">
        <v>0</v>
      </c>
      <c r="BN85">
        <v>5.4161004022044201</v>
      </c>
      <c r="BX85">
        <v>92</v>
      </c>
      <c r="BY85">
        <v>5.5345745570076197</v>
      </c>
      <c r="BZ85">
        <v>5.7705061066991004</v>
      </c>
    </row>
    <row r="86" spans="38:78" x14ac:dyDescent="0.3">
      <c r="AL86">
        <v>71</v>
      </c>
      <c r="AM86">
        <v>6.0890448754468398</v>
      </c>
      <c r="AN86">
        <v>5.79727281774354</v>
      </c>
      <c r="AX86">
        <v>43</v>
      </c>
      <c r="AY86">
        <v>4.1298189504157596</v>
      </c>
      <c r="AZ86">
        <v>4.7498887680031698</v>
      </c>
      <c r="BL86">
        <v>27</v>
      </c>
      <c r="BM86">
        <v>5.5529595849216102</v>
      </c>
      <c r="BN86">
        <v>5.4553211153576999</v>
      </c>
      <c r="BX86">
        <v>93</v>
      </c>
      <c r="BY86">
        <v>5.6760686360886803</v>
      </c>
      <c r="BZ86">
        <v>5.9399080601935799</v>
      </c>
    </row>
    <row r="87" spans="38:78" x14ac:dyDescent="0.3">
      <c r="AL87">
        <v>68</v>
      </c>
      <c r="AM87">
        <v>6.2742911005833601</v>
      </c>
      <c r="AN87">
        <v>6.0632036442629502</v>
      </c>
      <c r="AX87">
        <v>52</v>
      </c>
      <c r="AY87">
        <v>4.2532458448079504</v>
      </c>
      <c r="AZ87">
        <v>4.7471036818767498</v>
      </c>
      <c r="BL87">
        <v>48</v>
      </c>
      <c r="BM87">
        <v>0</v>
      </c>
      <c r="BN87">
        <v>5.5872486584002496</v>
      </c>
      <c r="BX87">
        <v>96</v>
      </c>
      <c r="BY87">
        <v>5.5482975718157999</v>
      </c>
      <c r="BZ87">
        <v>5.9676840184425703</v>
      </c>
    </row>
    <row r="88" spans="38:78" x14ac:dyDescent="0.3">
      <c r="AL88">
        <v>14</v>
      </c>
      <c r="AM88">
        <v>6.3279367837291902</v>
      </c>
      <c r="AN88">
        <v>5.4161004022044201</v>
      </c>
      <c r="AX88">
        <v>23</v>
      </c>
      <c r="AY88">
        <v>4.2626798770413101</v>
      </c>
      <c r="AZ88">
        <v>5.1313769117923798</v>
      </c>
      <c r="BL88">
        <v>71</v>
      </c>
      <c r="BM88">
        <v>0</v>
      </c>
      <c r="BN88">
        <v>5.79727281774354</v>
      </c>
      <c r="BX88">
        <v>97</v>
      </c>
      <c r="BY88">
        <v>4.6700211583076996</v>
      </c>
      <c r="BZ88">
        <v>5.1221766688291597</v>
      </c>
    </row>
    <row r="89" spans="38:78" x14ac:dyDescent="0.3">
      <c r="AL89">
        <v>8</v>
      </c>
      <c r="AM89">
        <v>6.7165947735209697</v>
      </c>
      <c r="AN89">
        <v>6.4876840184846101</v>
      </c>
      <c r="AX89">
        <v>72</v>
      </c>
      <c r="AY89">
        <v>4.2979654470474404</v>
      </c>
      <c r="AZ89">
        <v>3.6418007874596698</v>
      </c>
      <c r="BL89">
        <v>68</v>
      </c>
      <c r="BM89">
        <v>0</v>
      </c>
      <c r="BN89">
        <v>6.0632036442629502</v>
      </c>
      <c r="BX89">
        <v>98</v>
      </c>
      <c r="BY89">
        <v>5.3047963326457399</v>
      </c>
      <c r="BZ89">
        <v>5.6207631189361003</v>
      </c>
    </row>
    <row r="90" spans="38:78" x14ac:dyDescent="0.3">
      <c r="AL90">
        <v>47</v>
      </c>
      <c r="AM90">
        <v>6.8916258970522497</v>
      </c>
      <c r="AN90">
        <v>6.42810527268459</v>
      </c>
      <c r="AX90">
        <v>27</v>
      </c>
      <c r="AY90">
        <v>5.4553211153576999</v>
      </c>
      <c r="AZ90">
        <v>5.5529595849216102</v>
      </c>
      <c r="BL90">
        <v>47</v>
      </c>
      <c r="BM90">
        <v>0</v>
      </c>
      <c r="BN90">
        <v>6.42810527268459</v>
      </c>
      <c r="BX90">
        <v>99</v>
      </c>
      <c r="BY90">
        <v>4.28771595520264</v>
      </c>
      <c r="BZ90">
        <v>4.65014355163082</v>
      </c>
    </row>
    <row r="91" spans="38:78" x14ac:dyDescent="0.3">
      <c r="AL91">
        <v>48</v>
      </c>
      <c r="AM91">
        <v>6.9479370686149604</v>
      </c>
      <c r="AN91">
        <v>5.5872486584002496</v>
      </c>
      <c r="AX91">
        <v>15</v>
      </c>
      <c r="AY91">
        <v>5.5834963087816902</v>
      </c>
      <c r="AZ91">
        <v>5.4694656227438596</v>
      </c>
      <c r="BL91">
        <v>8</v>
      </c>
      <c r="BM91">
        <v>0</v>
      </c>
      <c r="BN91">
        <v>6.4876840184846101</v>
      </c>
      <c r="BX91">
        <v>100</v>
      </c>
      <c r="BY91">
        <v>6.1127968322755004</v>
      </c>
      <c r="BZ91">
        <v>6.4093521752146998</v>
      </c>
    </row>
    <row r="92" spans="38:78" x14ac:dyDescent="0.3">
      <c r="AL92" t="s">
        <v>140</v>
      </c>
      <c r="AX92" t="s">
        <v>140</v>
      </c>
      <c r="BL92" t="s">
        <v>140</v>
      </c>
      <c r="BX92" t="s">
        <v>140</v>
      </c>
    </row>
    <row r="93" spans="38:78" x14ac:dyDescent="0.3">
      <c r="AL93" t="s">
        <v>178</v>
      </c>
      <c r="AX93" t="s">
        <v>191</v>
      </c>
      <c r="BL93" t="s">
        <v>203</v>
      </c>
      <c r="BX93" t="s">
        <v>216</v>
      </c>
    </row>
    <row r="94" spans="38:78" x14ac:dyDescent="0.3">
      <c r="AL94" t="s">
        <v>179</v>
      </c>
      <c r="AX94" t="s">
        <v>192</v>
      </c>
      <c r="BL94" t="s">
        <v>204</v>
      </c>
      <c r="BX94" t="s">
        <v>217</v>
      </c>
    </row>
    <row r="95" spans="38:78" x14ac:dyDescent="0.3">
      <c r="AL95" t="s">
        <v>180</v>
      </c>
      <c r="AX95" t="s">
        <v>193</v>
      </c>
      <c r="BL95" t="s">
        <v>205</v>
      </c>
      <c r="BX95" t="s">
        <v>218</v>
      </c>
    </row>
    <row r="96" spans="38:78" x14ac:dyDescent="0.3">
      <c r="AL96" t="s">
        <v>181</v>
      </c>
      <c r="AX96" t="s">
        <v>194</v>
      </c>
      <c r="BL96" t="s">
        <v>206</v>
      </c>
      <c r="BX96" t="s">
        <v>219</v>
      </c>
    </row>
    <row r="97" spans="38:76" x14ac:dyDescent="0.3">
      <c r="AL97" t="s">
        <v>182</v>
      </c>
      <c r="AX97" t="s">
        <v>195</v>
      </c>
      <c r="BL97" t="s">
        <v>207</v>
      </c>
      <c r="BX97" t="s">
        <v>220</v>
      </c>
    </row>
    <row r="98" spans="38:76" x14ac:dyDescent="0.3">
      <c r="AL98" t="s">
        <v>183</v>
      </c>
      <c r="AX98" t="s">
        <v>196</v>
      </c>
      <c r="BL98" t="s">
        <v>208</v>
      </c>
      <c r="BX98" t="s">
        <v>221</v>
      </c>
    </row>
    <row r="99" spans="38:76" x14ac:dyDescent="0.3">
      <c r="AL99" t="s">
        <v>184</v>
      </c>
      <c r="AX99" t="s">
        <v>197</v>
      </c>
      <c r="BL99" t="s">
        <v>209</v>
      </c>
      <c r="BX99" t="s">
        <v>222</v>
      </c>
    </row>
    <row r="100" spans="38:76" x14ac:dyDescent="0.3">
      <c r="AL100" t="s">
        <v>185</v>
      </c>
      <c r="AX100" t="s">
        <v>198</v>
      </c>
      <c r="BL100" t="s">
        <v>210</v>
      </c>
      <c r="BX100" t="s">
        <v>223</v>
      </c>
    </row>
    <row r="101" spans="38:76" x14ac:dyDescent="0.3">
      <c r="AL101" t="s">
        <v>186</v>
      </c>
      <c r="AX101" t="s">
        <v>199</v>
      </c>
      <c r="BL101" t="s">
        <v>211</v>
      </c>
      <c r="BX101" t="s">
        <v>224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1ECF-95EC-4F22-9C11-03792185942F}">
  <dimension ref="A1:AB57"/>
  <sheetViews>
    <sheetView zoomScale="55" zoomScaleNormal="55" workbookViewId="0">
      <selection activeCell="AG55" sqref="AG55"/>
    </sheetView>
  </sheetViews>
  <sheetFormatPr defaultRowHeight="14.4" x14ac:dyDescent="0.3"/>
  <cols>
    <col min="6" max="6" width="10.5546875" bestFit="1" customWidth="1"/>
    <col min="11" max="11" width="12.88671875" bestFit="1" customWidth="1"/>
    <col min="23" max="23" width="13.5546875" bestFit="1" customWidth="1"/>
    <col min="27" max="27" width="14" customWidth="1"/>
    <col min="28" max="28" width="12.6640625" customWidth="1"/>
  </cols>
  <sheetData>
    <row r="1" spans="1:28" x14ac:dyDescent="0.3">
      <c r="A1" t="s">
        <v>238</v>
      </c>
      <c r="B1" t="s">
        <v>239</v>
      </c>
      <c r="C1" t="s">
        <v>240</v>
      </c>
      <c r="M1" t="s">
        <v>238</v>
      </c>
      <c r="N1" t="s">
        <v>239</v>
      </c>
      <c r="O1" t="s">
        <v>246</v>
      </c>
      <c r="Z1" t="s">
        <v>150</v>
      </c>
      <c r="AA1" t="s">
        <v>150</v>
      </c>
      <c r="AB1" t="s">
        <v>248</v>
      </c>
    </row>
    <row r="2" spans="1:28" x14ac:dyDescent="0.3">
      <c r="A2" t="s">
        <v>153</v>
      </c>
      <c r="B2" t="s">
        <v>27</v>
      </c>
      <c r="C2" t="s">
        <v>65</v>
      </c>
      <c r="D2" t="s">
        <v>66</v>
      </c>
      <c r="E2" t="s">
        <v>84</v>
      </c>
      <c r="F2" s="59" t="s">
        <v>241</v>
      </c>
      <c r="G2" t="s">
        <v>67</v>
      </c>
      <c r="H2" t="s">
        <v>68</v>
      </c>
      <c r="I2" t="s">
        <v>85</v>
      </c>
      <c r="J2" t="s">
        <v>242</v>
      </c>
      <c r="K2" s="59" t="s">
        <v>243</v>
      </c>
      <c r="M2" t="s">
        <v>153</v>
      </c>
      <c r="N2" t="s">
        <v>27</v>
      </c>
      <c r="O2" t="s">
        <v>65</v>
      </c>
      <c r="P2" t="s">
        <v>66</v>
      </c>
      <c r="Q2" t="s">
        <v>84</v>
      </c>
      <c r="R2" t="s">
        <v>241</v>
      </c>
      <c r="S2" t="s">
        <v>67</v>
      </c>
      <c r="T2" t="s">
        <v>68</v>
      </c>
      <c r="U2" t="s">
        <v>85</v>
      </c>
      <c r="V2" t="s">
        <v>242</v>
      </c>
      <c r="W2" s="59"/>
      <c r="Z2" t="s">
        <v>150</v>
      </c>
      <c r="AA2" t="s">
        <v>150</v>
      </c>
      <c r="AB2" t="s">
        <v>249</v>
      </c>
    </row>
    <row r="3" spans="1:28" x14ac:dyDescent="0.3">
      <c r="A3">
        <v>55</v>
      </c>
      <c r="B3" t="s">
        <v>39</v>
      </c>
      <c r="C3">
        <v>0</v>
      </c>
      <c r="D3">
        <v>0</v>
      </c>
      <c r="E3">
        <v>0</v>
      </c>
      <c r="F3" s="59" t="s">
        <v>244</v>
      </c>
      <c r="G3">
        <v>68.2</v>
      </c>
      <c r="H3">
        <v>71.400000000000006</v>
      </c>
      <c r="I3">
        <v>3.2</v>
      </c>
      <c r="J3">
        <v>15.116619999999999</v>
      </c>
      <c r="K3" s="59" t="s">
        <v>245</v>
      </c>
      <c r="M3">
        <v>72</v>
      </c>
      <c r="N3" t="s">
        <v>41</v>
      </c>
      <c r="O3">
        <v>12</v>
      </c>
      <c r="P3">
        <v>17</v>
      </c>
      <c r="Q3">
        <v>5</v>
      </c>
      <c r="R3">
        <v>1.9900500000000001</v>
      </c>
      <c r="S3">
        <v>290.2</v>
      </c>
      <c r="T3">
        <v>301</v>
      </c>
      <c r="U3">
        <v>10.8</v>
      </c>
      <c r="V3">
        <v>18.969580000000001</v>
      </c>
      <c r="W3" s="59"/>
      <c r="Z3" t="s">
        <v>153</v>
      </c>
      <c r="AA3" t="s">
        <v>250</v>
      </c>
      <c r="AB3" t="s">
        <v>251</v>
      </c>
    </row>
    <row r="4" spans="1:28" x14ac:dyDescent="0.3">
      <c r="A4">
        <v>54</v>
      </c>
      <c r="B4" t="s">
        <v>39</v>
      </c>
      <c r="C4">
        <v>2</v>
      </c>
      <c r="D4">
        <v>0</v>
      </c>
      <c r="E4">
        <v>-2</v>
      </c>
      <c r="F4" s="59">
        <v>0</v>
      </c>
      <c r="G4">
        <v>64.900000000000006</v>
      </c>
      <c r="H4">
        <v>68.5</v>
      </c>
      <c r="I4">
        <v>3.6</v>
      </c>
      <c r="J4">
        <v>12.839359999999999</v>
      </c>
      <c r="K4" s="59" t="s">
        <v>245</v>
      </c>
      <c r="M4">
        <v>83</v>
      </c>
      <c r="N4" t="s">
        <v>42</v>
      </c>
      <c r="O4">
        <v>217</v>
      </c>
      <c r="P4">
        <v>245</v>
      </c>
      <c r="Q4">
        <v>28</v>
      </c>
      <c r="R4">
        <v>5.7114599999999998</v>
      </c>
      <c r="S4">
        <v>169</v>
      </c>
      <c r="T4">
        <v>182.2</v>
      </c>
      <c r="U4">
        <v>13.2</v>
      </c>
      <c r="V4">
        <v>9.2166099999999993</v>
      </c>
      <c r="W4" s="59"/>
      <c r="Z4">
        <v>84</v>
      </c>
      <c r="AA4">
        <v>2.6644995105181399</v>
      </c>
      <c r="AB4">
        <v>0.95985854692558203</v>
      </c>
    </row>
    <row r="5" spans="1:28" x14ac:dyDescent="0.3">
      <c r="A5">
        <v>2</v>
      </c>
      <c r="B5" t="s">
        <v>39</v>
      </c>
      <c r="C5">
        <v>0</v>
      </c>
      <c r="D5">
        <v>0</v>
      </c>
      <c r="E5">
        <v>0</v>
      </c>
      <c r="F5" s="59" t="s">
        <v>244</v>
      </c>
      <c r="G5">
        <v>193.3</v>
      </c>
      <c r="H5">
        <v>212.2</v>
      </c>
      <c r="I5">
        <v>18.899999999999999</v>
      </c>
      <c r="J5">
        <v>7.4303600000000003</v>
      </c>
      <c r="K5" s="59" t="s">
        <v>244</v>
      </c>
      <c r="M5">
        <v>75</v>
      </c>
      <c r="N5" t="s">
        <v>41</v>
      </c>
      <c r="O5">
        <v>21</v>
      </c>
      <c r="P5">
        <v>31</v>
      </c>
      <c r="Q5">
        <v>10</v>
      </c>
      <c r="R5">
        <v>1.7797400000000001</v>
      </c>
      <c r="S5">
        <v>106.8</v>
      </c>
      <c r="T5">
        <v>116.5</v>
      </c>
      <c r="U5">
        <v>9.6999999999999993</v>
      </c>
      <c r="V5">
        <v>7.9733200000000002</v>
      </c>
      <c r="W5" s="59"/>
      <c r="Z5">
        <v>79</v>
      </c>
      <c r="AA5">
        <v>2.19341642216351</v>
      </c>
      <c r="AB5">
        <v>1.0432096687204899</v>
      </c>
    </row>
    <row r="6" spans="1:28" x14ac:dyDescent="0.3">
      <c r="A6">
        <v>77</v>
      </c>
      <c r="B6" t="s">
        <v>39</v>
      </c>
      <c r="C6">
        <v>360</v>
      </c>
      <c r="D6">
        <v>353</v>
      </c>
      <c r="E6">
        <v>-7</v>
      </c>
      <c r="F6" s="59">
        <v>-35.299860000000002</v>
      </c>
      <c r="G6">
        <v>174.6</v>
      </c>
      <c r="H6">
        <v>210</v>
      </c>
      <c r="I6">
        <v>35.4</v>
      </c>
      <c r="J6">
        <v>3.7546599999999999</v>
      </c>
      <c r="K6" s="59" t="s">
        <v>245</v>
      </c>
      <c r="M6">
        <v>67</v>
      </c>
      <c r="N6" t="s">
        <v>41</v>
      </c>
      <c r="O6">
        <v>4</v>
      </c>
      <c r="P6">
        <v>8</v>
      </c>
      <c r="Q6">
        <v>4</v>
      </c>
      <c r="R6">
        <v>1</v>
      </c>
      <c r="S6">
        <v>139.4</v>
      </c>
      <c r="T6">
        <v>153.6</v>
      </c>
      <c r="U6">
        <v>14.2</v>
      </c>
      <c r="V6">
        <v>7.1455299999999999</v>
      </c>
      <c r="W6" s="59"/>
      <c r="Z6">
        <v>76</v>
      </c>
      <c r="AA6">
        <v>0.93356645079507306</v>
      </c>
      <c r="AB6">
        <v>1.6509249299241</v>
      </c>
    </row>
    <row r="7" spans="1:28" x14ac:dyDescent="0.3">
      <c r="A7">
        <v>63</v>
      </c>
      <c r="B7" t="s">
        <v>39</v>
      </c>
      <c r="C7">
        <v>68</v>
      </c>
      <c r="D7">
        <v>62</v>
      </c>
      <c r="E7">
        <v>-6</v>
      </c>
      <c r="F7" s="59">
        <v>-7.5037599999999998</v>
      </c>
      <c r="G7">
        <v>77.3</v>
      </c>
      <c r="H7">
        <v>96.1</v>
      </c>
      <c r="I7">
        <v>18.8</v>
      </c>
      <c r="J7">
        <v>3.1840199999999999</v>
      </c>
      <c r="K7" s="59" t="s">
        <v>245</v>
      </c>
      <c r="M7">
        <v>62</v>
      </c>
      <c r="N7" t="s">
        <v>42</v>
      </c>
      <c r="O7">
        <v>27</v>
      </c>
      <c r="P7">
        <v>41</v>
      </c>
      <c r="Q7">
        <v>14</v>
      </c>
      <c r="R7">
        <v>1.6593</v>
      </c>
      <c r="S7">
        <v>45.3</v>
      </c>
      <c r="T7">
        <v>51.6</v>
      </c>
      <c r="U7">
        <v>6.3</v>
      </c>
      <c r="V7">
        <v>5.3231099999999998</v>
      </c>
      <c r="W7" s="59"/>
      <c r="Z7">
        <v>62</v>
      </c>
      <c r="AA7">
        <v>5.3231125207409598</v>
      </c>
      <c r="AB7">
        <v>1.65929799403658</v>
      </c>
    </row>
    <row r="8" spans="1:28" x14ac:dyDescent="0.3">
      <c r="A8">
        <v>95</v>
      </c>
      <c r="B8" t="s">
        <v>39</v>
      </c>
      <c r="C8">
        <v>175</v>
      </c>
      <c r="D8">
        <v>193</v>
      </c>
      <c r="E8">
        <v>18</v>
      </c>
      <c r="F8" s="59">
        <v>7.0798500000000004</v>
      </c>
      <c r="G8">
        <v>73.400000000000006</v>
      </c>
      <c r="H8">
        <v>92.7</v>
      </c>
      <c r="I8">
        <v>19.3</v>
      </c>
      <c r="J8">
        <v>2.96922</v>
      </c>
      <c r="K8" s="59" t="s">
        <v>245</v>
      </c>
      <c r="M8">
        <v>80</v>
      </c>
      <c r="N8" t="s">
        <v>42</v>
      </c>
      <c r="O8">
        <v>66</v>
      </c>
      <c r="P8">
        <v>97</v>
      </c>
      <c r="Q8">
        <v>31</v>
      </c>
      <c r="R8">
        <v>1.8001199999999999</v>
      </c>
      <c r="S8">
        <v>78</v>
      </c>
      <c r="T8">
        <v>89.6</v>
      </c>
      <c r="U8">
        <v>11.6</v>
      </c>
      <c r="V8">
        <v>4.9993800000000004</v>
      </c>
      <c r="W8" s="59"/>
      <c r="Z8">
        <v>80</v>
      </c>
      <c r="AA8">
        <v>4.9993848679869499</v>
      </c>
      <c r="AB8">
        <v>1.8001193459475999</v>
      </c>
    </row>
    <row r="9" spans="1:28" x14ac:dyDescent="0.3">
      <c r="A9">
        <v>66</v>
      </c>
      <c r="B9" t="s">
        <v>39</v>
      </c>
      <c r="C9">
        <v>58</v>
      </c>
      <c r="D9">
        <v>39</v>
      </c>
      <c r="E9">
        <v>-19</v>
      </c>
      <c r="F9" s="59">
        <v>-1.74648</v>
      </c>
      <c r="G9">
        <v>91.1</v>
      </c>
      <c r="H9">
        <v>119.7</v>
      </c>
      <c r="I9">
        <v>28.6</v>
      </c>
      <c r="J9">
        <v>2.53871</v>
      </c>
      <c r="K9" s="59" t="s">
        <v>245</v>
      </c>
      <c r="M9">
        <v>91</v>
      </c>
      <c r="N9" t="s">
        <v>41</v>
      </c>
      <c r="O9">
        <v>119</v>
      </c>
      <c r="P9">
        <v>124</v>
      </c>
      <c r="Q9">
        <v>5</v>
      </c>
      <c r="R9">
        <v>16.841100000000001</v>
      </c>
      <c r="S9">
        <v>183.5</v>
      </c>
      <c r="T9">
        <v>213.8</v>
      </c>
      <c r="U9">
        <v>30.3</v>
      </c>
      <c r="V9">
        <v>4.53552</v>
      </c>
      <c r="W9" s="59"/>
      <c r="Z9">
        <v>99</v>
      </c>
      <c r="AA9">
        <v>1.8904726185289</v>
      </c>
      <c r="AB9">
        <v>2.0510716888963598</v>
      </c>
    </row>
    <row r="10" spans="1:28" x14ac:dyDescent="0.3">
      <c r="A10">
        <v>94</v>
      </c>
      <c r="B10" t="s">
        <v>39</v>
      </c>
      <c r="C10">
        <v>291</v>
      </c>
      <c r="D10">
        <v>351</v>
      </c>
      <c r="E10">
        <v>60</v>
      </c>
      <c r="F10" s="59">
        <v>3.6975199999999999</v>
      </c>
      <c r="G10">
        <v>174.9</v>
      </c>
      <c r="H10">
        <v>245</v>
      </c>
      <c r="I10">
        <v>70.099999999999994</v>
      </c>
      <c r="J10">
        <v>2.0565500000000001</v>
      </c>
      <c r="K10" s="59" t="s">
        <v>245</v>
      </c>
      <c r="M10">
        <v>86</v>
      </c>
      <c r="N10" t="s">
        <v>42</v>
      </c>
      <c r="O10">
        <v>211</v>
      </c>
      <c r="P10">
        <v>254</v>
      </c>
      <c r="Q10">
        <v>43</v>
      </c>
      <c r="R10">
        <v>3.73712</v>
      </c>
      <c r="S10">
        <v>365.6</v>
      </c>
      <c r="T10">
        <v>428.5</v>
      </c>
      <c r="U10">
        <v>62.9</v>
      </c>
      <c r="V10">
        <v>4.3662599999999996</v>
      </c>
      <c r="W10" s="59"/>
      <c r="Z10">
        <v>96</v>
      </c>
      <c r="AA10">
        <v>1.6475077626477199</v>
      </c>
      <c r="AB10">
        <v>2.1458240757226399</v>
      </c>
    </row>
    <row r="11" spans="1:28" x14ac:dyDescent="0.3">
      <c r="A11">
        <v>65</v>
      </c>
      <c r="B11" t="s">
        <v>39</v>
      </c>
      <c r="C11">
        <v>1</v>
      </c>
      <c r="D11">
        <v>0</v>
      </c>
      <c r="E11">
        <v>-1</v>
      </c>
      <c r="F11" s="59">
        <v>0</v>
      </c>
      <c r="G11">
        <v>113.6</v>
      </c>
      <c r="H11">
        <v>162</v>
      </c>
      <c r="I11">
        <v>48.4</v>
      </c>
      <c r="J11">
        <v>1.9530099999999999</v>
      </c>
      <c r="K11" s="59" t="s">
        <v>245</v>
      </c>
      <c r="M11">
        <v>73</v>
      </c>
      <c r="N11" t="s">
        <v>41</v>
      </c>
      <c r="O11">
        <v>39</v>
      </c>
      <c r="P11">
        <v>49</v>
      </c>
      <c r="Q11">
        <v>10</v>
      </c>
      <c r="R11">
        <v>3.03667</v>
      </c>
      <c r="S11">
        <v>83.3</v>
      </c>
      <c r="T11">
        <v>97.7</v>
      </c>
      <c r="U11">
        <v>14.4</v>
      </c>
      <c r="V11">
        <v>4.3470300000000002</v>
      </c>
      <c r="W11" s="59"/>
      <c r="Z11">
        <v>98</v>
      </c>
      <c r="AA11">
        <v>2.1843899546479801</v>
      </c>
      <c r="AB11">
        <v>3.5578537245839601</v>
      </c>
    </row>
    <row r="12" spans="1:28" x14ac:dyDescent="0.3">
      <c r="A12">
        <v>56</v>
      </c>
      <c r="B12" t="s">
        <v>39</v>
      </c>
      <c r="C12">
        <v>0</v>
      </c>
      <c r="D12">
        <v>0</v>
      </c>
      <c r="E12">
        <v>0</v>
      </c>
      <c r="F12" s="59" t="s">
        <v>244</v>
      </c>
      <c r="G12">
        <v>15.5</v>
      </c>
      <c r="H12">
        <v>31</v>
      </c>
      <c r="I12">
        <v>15.5</v>
      </c>
      <c r="J12">
        <v>1</v>
      </c>
      <c r="K12" s="59" t="s">
        <v>245</v>
      </c>
      <c r="M12">
        <v>61</v>
      </c>
      <c r="N12" t="s">
        <v>41</v>
      </c>
      <c r="O12">
        <v>9</v>
      </c>
      <c r="P12">
        <v>13</v>
      </c>
      <c r="Q12">
        <v>4</v>
      </c>
      <c r="R12">
        <v>1.88496</v>
      </c>
      <c r="S12">
        <v>12.8</v>
      </c>
      <c r="T12">
        <v>15.2</v>
      </c>
      <c r="U12">
        <v>2.4</v>
      </c>
      <c r="V12">
        <v>4.0334399999999997</v>
      </c>
      <c r="W12" s="59"/>
      <c r="Z12">
        <v>86</v>
      </c>
      <c r="AA12">
        <v>4.3662567411801296</v>
      </c>
      <c r="AB12">
        <v>3.7371233016415499</v>
      </c>
    </row>
    <row r="13" spans="1:28" x14ac:dyDescent="0.3">
      <c r="A13">
        <v>51</v>
      </c>
      <c r="B13" t="s">
        <v>39</v>
      </c>
      <c r="C13">
        <v>6</v>
      </c>
      <c r="D13">
        <v>0</v>
      </c>
      <c r="E13">
        <v>-6</v>
      </c>
      <c r="F13" s="59">
        <v>0</v>
      </c>
      <c r="G13">
        <v>19.600000000000001</v>
      </c>
      <c r="H13">
        <v>42</v>
      </c>
      <c r="I13">
        <v>22.4</v>
      </c>
      <c r="J13">
        <v>0.90947</v>
      </c>
      <c r="K13" s="59" t="s">
        <v>245</v>
      </c>
      <c r="M13">
        <v>70</v>
      </c>
      <c r="N13" t="s">
        <v>41</v>
      </c>
      <c r="O13">
        <v>10</v>
      </c>
      <c r="P13">
        <v>18</v>
      </c>
      <c r="Q13">
        <v>8</v>
      </c>
      <c r="R13">
        <v>1.1792499999999999</v>
      </c>
      <c r="S13">
        <v>52.1</v>
      </c>
      <c r="T13">
        <v>62.5</v>
      </c>
      <c r="U13">
        <v>10.4</v>
      </c>
      <c r="V13">
        <v>3.8084699999999998</v>
      </c>
      <c r="W13" s="59"/>
      <c r="Z13">
        <v>78</v>
      </c>
      <c r="AA13">
        <v>0.96976665571058895</v>
      </c>
      <c r="AB13">
        <v>3.8452244952874901</v>
      </c>
    </row>
    <row r="14" spans="1:28" x14ac:dyDescent="0.3">
      <c r="A14">
        <v>89</v>
      </c>
      <c r="B14" t="s">
        <v>39</v>
      </c>
      <c r="C14">
        <v>135</v>
      </c>
      <c r="D14">
        <v>135</v>
      </c>
      <c r="E14">
        <v>0</v>
      </c>
      <c r="F14" s="59" t="s">
        <v>244</v>
      </c>
      <c r="G14">
        <v>46.2</v>
      </c>
      <c r="H14">
        <v>41.7</v>
      </c>
      <c r="I14">
        <v>-4.5</v>
      </c>
      <c r="J14">
        <v>-6.7638199999999999</v>
      </c>
      <c r="K14" s="59" t="s">
        <v>245</v>
      </c>
      <c r="M14">
        <v>68</v>
      </c>
      <c r="N14" t="s">
        <v>41</v>
      </c>
      <c r="O14">
        <v>0</v>
      </c>
      <c r="P14">
        <v>3</v>
      </c>
      <c r="Q14">
        <v>3</v>
      </c>
      <c r="R14">
        <v>0</v>
      </c>
      <c r="S14">
        <v>171.5</v>
      </c>
      <c r="T14">
        <v>211.9</v>
      </c>
      <c r="U14">
        <v>40.4</v>
      </c>
      <c r="V14">
        <v>3.2768099999999998</v>
      </c>
      <c r="W14" s="59"/>
      <c r="Z14">
        <v>100</v>
      </c>
      <c r="AA14">
        <v>2.3328494051809101</v>
      </c>
      <c r="AB14">
        <v>4.7148140832379299</v>
      </c>
    </row>
    <row r="15" spans="1:28" x14ac:dyDescent="0.3">
      <c r="M15">
        <v>92</v>
      </c>
      <c r="N15" t="s">
        <v>41</v>
      </c>
      <c r="O15">
        <v>295</v>
      </c>
      <c r="P15">
        <v>300</v>
      </c>
      <c r="Q15">
        <v>5</v>
      </c>
      <c r="R15">
        <v>41.241289999999999</v>
      </c>
      <c r="S15">
        <v>252.3</v>
      </c>
      <c r="T15">
        <v>319.7</v>
      </c>
      <c r="U15">
        <v>67.400000000000006</v>
      </c>
      <c r="V15">
        <v>2.9275799999999998</v>
      </c>
      <c r="W15" s="59"/>
      <c r="Z15">
        <v>93</v>
      </c>
      <c r="AA15">
        <v>2.61924183178817</v>
      </c>
      <c r="AB15">
        <v>4.7877717154122301</v>
      </c>
    </row>
    <row r="16" spans="1:28" x14ac:dyDescent="0.3">
      <c r="A16" t="s">
        <v>238</v>
      </c>
      <c r="B16" t="s">
        <v>239</v>
      </c>
      <c r="C16" t="s">
        <v>247</v>
      </c>
      <c r="M16">
        <v>88</v>
      </c>
      <c r="N16" t="s">
        <v>42</v>
      </c>
      <c r="O16">
        <v>88</v>
      </c>
      <c r="P16">
        <v>100</v>
      </c>
      <c r="Q16">
        <v>12</v>
      </c>
      <c r="R16">
        <v>5.4222700000000001</v>
      </c>
      <c r="S16">
        <v>238.5</v>
      </c>
      <c r="T16">
        <v>307.3</v>
      </c>
      <c r="U16">
        <v>68.8</v>
      </c>
      <c r="V16">
        <v>2.7347899999999998</v>
      </c>
      <c r="W16" s="59"/>
      <c r="Z16">
        <v>82</v>
      </c>
      <c r="AA16">
        <v>1.77096800717088</v>
      </c>
      <c r="AB16">
        <v>5.2423128931211203</v>
      </c>
    </row>
    <row r="17" spans="1:28" x14ac:dyDescent="0.3">
      <c r="A17" t="s">
        <v>153</v>
      </c>
      <c r="B17" t="s">
        <v>27</v>
      </c>
      <c r="C17" t="s">
        <v>65</v>
      </c>
      <c r="D17" t="s">
        <v>66</v>
      </c>
      <c r="E17" t="s">
        <v>84</v>
      </c>
      <c r="F17" t="s">
        <v>241</v>
      </c>
      <c r="G17" t="s">
        <v>67</v>
      </c>
      <c r="H17" t="s">
        <v>68</v>
      </c>
      <c r="I17" t="s">
        <v>85</v>
      </c>
      <c r="J17" t="s">
        <v>242</v>
      </c>
      <c r="K17" t="s">
        <v>243</v>
      </c>
      <c r="M17">
        <v>84</v>
      </c>
      <c r="N17" t="s">
        <v>42</v>
      </c>
      <c r="O17">
        <v>17</v>
      </c>
      <c r="P17">
        <v>35</v>
      </c>
      <c r="Q17">
        <v>18</v>
      </c>
      <c r="R17">
        <v>0.95986000000000005</v>
      </c>
      <c r="S17">
        <v>58.9</v>
      </c>
      <c r="T17">
        <v>76.400000000000006</v>
      </c>
      <c r="U17">
        <v>17.5</v>
      </c>
      <c r="V17">
        <v>2.6644999999999999</v>
      </c>
      <c r="W17" s="59"/>
      <c r="Z17">
        <v>85</v>
      </c>
      <c r="AA17">
        <v>1.82693860112379</v>
      </c>
      <c r="AB17">
        <v>5.3028537083223801</v>
      </c>
    </row>
    <row r="18" spans="1:28" x14ac:dyDescent="0.3">
      <c r="A18">
        <v>2</v>
      </c>
      <c r="B18" t="s">
        <v>39</v>
      </c>
      <c r="C18">
        <v>0</v>
      </c>
      <c r="D18">
        <v>0</v>
      </c>
      <c r="E18">
        <v>0</v>
      </c>
      <c r="F18" s="59" t="s">
        <v>244</v>
      </c>
      <c r="G18">
        <v>193.3</v>
      </c>
      <c r="H18">
        <v>212.2</v>
      </c>
      <c r="I18">
        <v>18.899999999999999</v>
      </c>
      <c r="J18">
        <v>7.4303600000000003</v>
      </c>
      <c r="K18" s="59" t="s">
        <v>244</v>
      </c>
      <c r="M18">
        <v>93</v>
      </c>
      <c r="N18" t="s">
        <v>42</v>
      </c>
      <c r="O18">
        <v>199</v>
      </c>
      <c r="P18">
        <v>230</v>
      </c>
      <c r="Q18">
        <v>31</v>
      </c>
      <c r="R18">
        <v>4.7877700000000001</v>
      </c>
      <c r="S18">
        <v>290.8</v>
      </c>
      <c r="T18">
        <v>378.9</v>
      </c>
      <c r="U18">
        <v>88.1</v>
      </c>
      <c r="V18">
        <v>2.61924</v>
      </c>
      <c r="W18" s="59"/>
      <c r="Z18">
        <v>88</v>
      </c>
      <c r="AA18">
        <v>2.7347921573965901</v>
      </c>
      <c r="AB18">
        <v>5.42227097958021</v>
      </c>
    </row>
    <row r="19" spans="1:28" x14ac:dyDescent="0.3">
      <c r="A19">
        <v>86</v>
      </c>
      <c r="B19" t="s">
        <v>42</v>
      </c>
      <c r="C19">
        <v>211</v>
      </c>
      <c r="D19">
        <v>254</v>
      </c>
      <c r="E19">
        <v>43</v>
      </c>
      <c r="F19" s="59">
        <v>3.73712</v>
      </c>
      <c r="G19">
        <v>365.6</v>
      </c>
      <c r="H19">
        <v>428.5</v>
      </c>
      <c r="I19">
        <v>62.9</v>
      </c>
      <c r="J19">
        <v>4.3662599999999996</v>
      </c>
      <c r="K19">
        <v>1.3569199999999999</v>
      </c>
      <c r="M19">
        <v>90</v>
      </c>
      <c r="N19" t="s">
        <v>42</v>
      </c>
      <c r="O19">
        <v>388</v>
      </c>
      <c r="P19">
        <v>400</v>
      </c>
      <c r="Q19">
        <v>12</v>
      </c>
      <c r="R19">
        <v>22.75657</v>
      </c>
      <c r="S19">
        <v>147.19999999999999</v>
      </c>
      <c r="T19">
        <v>194.8</v>
      </c>
      <c r="U19">
        <v>47.6</v>
      </c>
      <c r="V19">
        <v>2.4739200000000001</v>
      </c>
      <c r="W19" s="59"/>
      <c r="Z19">
        <v>83</v>
      </c>
      <c r="AA19">
        <v>9.2166142723996796</v>
      </c>
      <c r="AB19">
        <v>5.7114558818216903</v>
      </c>
    </row>
    <row r="20" spans="1:28" x14ac:dyDescent="0.3">
      <c r="A20">
        <v>93</v>
      </c>
      <c r="B20" t="s">
        <v>42</v>
      </c>
      <c r="C20">
        <v>199</v>
      </c>
      <c r="D20">
        <v>230</v>
      </c>
      <c r="E20">
        <v>31</v>
      </c>
      <c r="F20" s="59">
        <v>4.7877700000000001</v>
      </c>
      <c r="G20">
        <v>290.8</v>
      </c>
      <c r="H20">
        <v>378.9</v>
      </c>
      <c r="I20">
        <v>88.1</v>
      </c>
      <c r="J20">
        <v>2.61924</v>
      </c>
      <c r="K20">
        <v>2.91289</v>
      </c>
      <c r="M20">
        <v>71</v>
      </c>
      <c r="N20" t="s">
        <v>41</v>
      </c>
      <c r="O20">
        <v>3</v>
      </c>
      <c r="P20">
        <v>5</v>
      </c>
      <c r="Q20">
        <v>2</v>
      </c>
      <c r="R20">
        <v>1.3569199999999999</v>
      </c>
      <c r="S20">
        <v>164.2</v>
      </c>
      <c r="T20">
        <v>220</v>
      </c>
      <c r="U20">
        <v>55.8</v>
      </c>
      <c r="V20">
        <v>2.3693900000000001</v>
      </c>
      <c r="W20" s="59"/>
      <c r="Z20">
        <v>90</v>
      </c>
      <c r="AA20">
        <v>2.4739247953910399</v>
      </c>
      <c r="AB20">
        <v>22.756573062773501</v>
      </c>
    </row>
    <row r="21" spans="1:28" x14ac:dyDescent="0.3">
      <c r="A21">
        <v>100</v>
      </c>
      <c r="B21" t="s">
        <v>42</v>
      </c>
      <c r="C21">
        <v>221</v>
      </c>
      <c r="D21">
        <v>256</v>
      </c>
      <c r="E21">
        <v>35</v>
      </c>
      <c r="F21" s="59">
        <v>4.7148099999999999</v>
      </c>
      <c r="G21">
        <v>450.6</v>
      </c>
      <c r="H21">
        <v>606.5</v>
      </c>
      <c r="I21">
        <v>155.9</v>
      </c>
      <c r="J21">
        <v>2.3328500000000001</v>
      </c>
      <c r="K21">
        <v>25.76042</v>
      </c>
      <c r="M21">
        <v>100</v>
      </c>
      <c r="N21" t="s">
        <v>42</v>
      </c>
      <c r="O21">
        <v>221</v>
      </c>
      <c r="P21">
        <v>256</v>
      </c>
      <c r="Q21">
        <v>35</v>
      </c>
      <c r="R21">
        <v>4.7148099999999999</v>
      </c>
      <c r="S21">
        <v>450.6</v>
      </c>
      <c r="T21">
        <v>606.5</v>
      </c>
      <c r="U21">
        <v>155.9</v>
      </c>
      <c r="V21">
        <v>2.3328500000000001</v>
      </c>
      <c r="W21" s="59"/>
      <c r="Z21" t="s">
        <v>140</v>
      </c>
    </row>
    <row r="22" spans="1:28" x14ac:dyDescent="0.3">
      <c r="A22">
        <v>85</v>
      </c>
      <c r="B22" t="s">
        <v>42</v>
      </c>
      <c r="C22">
        <v>222</v>
      </c>
      <c r="D22">
        <v>253</v>
      </c>
      <c r="E22">
        <v>31</v>
      </c>
      <c r="F22" s="59">
        <v>5.3028500000000003</v>
      </c>
      <c r="G22">
        <v>244.9</v>
      </c>
      <c r="H22">
        <v>357.9</v>
      </c>
      <c r="I22">
        <v>113</v>
      </c>
      <c r="J22">
        <v>1.82694</v>
      </c>
      <c r="K22">
        <v>0.92898000000000003</v>
      </c>
      <c r="M22">
        <v>74</v>
      </c>
      <c r="N22" t="s">
        <v>41</v>
      </c>
      <c r="O22">
        <v>2</v>
      </c>
      <c r="P22">
        <v>7</v>
      </c>
      <c r="Q22">
        <v>5</v>
      </c>
      <c r="R22">
        <v>0.55328999999999995</v>
      </c>
      <c r="S22">
        <v>141.1</v>
      </c>
      <c r="T22">
        <v>191</v>
      </c>
      <c r="U22">
        <v>49.9</v>
      </c>
      <c r="V22">
        <v>2.2890899999999998</v>
      </c>
      <c r="W22" s="59"/>
      <c r="Z22" t="s">
        <v>252</v>
      </c>
    </row>
    <row r="23" spans="1:28" x14ac:dyDescent="0.3">
      <c r="A23">
        <v>82</v>
      </c>
      <c r="B23" t="s">
        <v>42</v>
      </c>
      <c r="C23">
        <v>191</v>
      </c>
      <c r="D23">
        <v>218</v>
      </c>
      <c r="E23">
        <v>27</v>
      </c>
      <c r="F23" s="59">
        <v>5.2423099999999998</v>
      </c>
      <c r="G23">
        <v>233.8</v>
      </c>
      <c r="H23">
        <v>345.8</v>
      </c>
      <c r="I23">
        <v>112</v>
      </c>
      <c r="J23">
        <v>1.7709699999999999</v>
      </c>
      <c r="K23">
        <v>1.9989399999999999</v>
      </c>
      <c r="M23">
        <v>79</v>
      </c>
      <c r="N23" t="s">
        <v>42</v>
      </c>
      <c r="O23">
        <v>53</v>
      </c>
      <c r="P23">
        <v>103</v>
      </c>
      <c r="Q23">
        <v>50</v>
      </c>
      <c r="R23">
        <v>1.04321</v>
      </c>
      <c r="S23">
        <v>130.5</v>
      </c>
      <c r="T23">
        <v>179</v>
      </c>
      <c r="U23">
        <v>48.5</v>
      </c>
      <c r="V23">
        <v>2.1934200000000001</v>
      </c>
      <c r="W23" s="59"/>
      <c r="Z23" t="s">
        <v>253</v>
      </c>
    </row>
    <row r="24" spans="1:28" x14ac:dyDescent="0.3">
      <c r="A24">
        <v>96</v>
      </c>
      <c r="B24" t="s">
        <v>42</v>
      </c>
      <c r="C24">
        <v>556</v>
      </c>
      <c r="D24">
        <v>768</v>
      </c>
      <c r="E24">
        <v>212</v>
      </c>
      <c r="F24" s="59">
        <v>2.1458200000000001</v>
      </c>
      <c r="G24">
        <v>255.8</v>
      </c>
      <c r="H24">
        <v>389.6</v>
      </c>
      <c r="I24">
        <v>133.80000000000001</v>
      </c>
      <c r="J24">
        <v>1.64751</v>
      </c>
      <c r="K24">
        <v>0.90454000000000001</v>
      </c>
      <c r="M24">
        <v>98</v>
      </c>
      <c r="N24" t="s">
        <v>42</v>
      </c>
      <c r="O24">
        <v>265</v>
      </c>
      <c r="P24">
        <v>322</v>
      </c>
      <c r="Q24">
        <v>57</v>
      </c>
      <c r="R24">
        <v>3.5578500000000002</v>
      </c>
      <c r="S24">
        <v>200.3</v>
      </c>
      <c r="T24">
        <v>275.10000000000002</v>
      </c>
      <c r="U24">
        <v>74.8</v>
      </c>
      <c r="V24">
        <v>2.1843900000000001</v>
      </c>
      <c r="W24" s="59"/>
      <c r="Z24" t="s">
        <v>254</v>
      </c>
    </row>
    <row r="25" spans="1:28" x14ac:dyDescent="0.3">
      <c r="A25">
        <v>87</v>
      </c>
      <c r="B25" t="s">
        <v>41</v>
      </c>
      <c r="C25">
        <v>101</v>
      </c>
      <c r="D25">
        <v>103</v>
      </c>
      <c r="E25">
        <v>2</v>
      </c>
      <c r="F25" s="59">
        <v>35.34937</v>
      </c>
      <c r="G25">
        <v>100.5</v>
      </c>
      <c r="H25">
        <v>180.3</v>
      </c>
      <c r="I25">
        <v>79.8</v>
      </c>
      <c r="J25">
        <v>1.1859500000000001</v>
      </c>
      <c r="K25">
        <v>1.2912600000000001</v>
      </c>
      <c r="M25">
        <v>57</v>
      </c>
      <c r="N25" t="s">
        <v>41</v>
      </c>
      <c r="O25">
        <v>4</v>
      </c>
      <c r="P25">
        <v>6</v>
      </c>
      <c r="Q25">
        <v>2</v>
      </c>
      <c r="R25">
        <v>1.7095100000000001</v>
      </c>
      <c r="S25">
        <v>94.7</v>
      </c>
      <c r="T25">
        <v>130.80000000000001</v>
      </c>
      <c r="U25">
        <v>36.1</v>
      </c>
      <c r="V25">
        <v>2.1462599999999998</v>
      </c>
      <c r="W25" s="59"/>
      <c r="Z25" t="s">
        <v>255</v>
      </c>
    </row>
    <row r="26" spans="1:28" x14ac:dyDescent="0.3">
      <c r="A26">
        <v>53</v>
      </c>
      <c r="B26" t="s">
        <v>41</v>
      </c>
      <c r="C26">
        <v>0</v>
      </c>
      <c r="D26">
        <v>1</v>
      </c>
      <c r="E26">
        <v>1</v>
      </c>
      <c r="F26" s="59">
        <v>0</v>
      </c>
      <c r="G26">
        <v>67.099999999999994</v>
      </c>
      <c r="H26">
        <v>166.7</v>
      </c>
      <c r="I26">
        <v>99.6</v>
      </c>
      <c r="J26">
        <v>0.76168999999999998</v>
      </c>
      <c r="K26">
        <v>0.38102999999999998</v>
      </c>
      <c r="M26">
        <v>49</v>
      </c>
      <c r="N26" t="s">
        <v>41</v>
      </c>
      <c r="O26">
        <v>0</v>
      </c>
      <c r="P26">
        <v>2</v>
      </c>
      <c r="Q26">
        <v>2</v>
      </c>
      <c r="R26">
        <v>0</v>
      </c>
      <c r="S26">
        <v>39.700000000000003</v>
      </c>
      <c r="T26">
        <v>57</v>
      </c>
      <c r="U26">
        <v>17.3</v>
      </c>
      <c r="V26">
        <v>1.9163600000000001</v>
      </c>
      <c r="W26" s="59"/>
      <c r="Z26" t="s">
        <v>256</v>
      </c>
    </row>
    <row r="27" spans="1:28" x14ac:dyDescent="0.3">
      <c r="A27">
        <v>48</v>
      </c>
      <c r="B27" t="s">
        <v>40</v>
      </c>
      <c r="C27">
        <v>0</v>
      </c>
      <c r="D27">
        <v>0</v>
      </c>
      <c r="E27">
        <v>0</v>
      </c>
      <c r="F27" s="59" t="s">
        <v>244</v>
      </c>
      <c r="G27">
        <v>26.6</v>
      </c>
      <c r="H27">
        <v>104</v>
      </c>
      <c r="I27">
        <v>77.400000000000006</v>
      </c>
      <c r="J27">
        <v>0.50836999999999999</v>
      </c>
      <c r="K27">
        <v>1.77336</v>
      </c>
      <c r="M27">
        <v>99</v>
      </c>
      <c r="N27" t="s">
        <v>42</v>
      </c>
      <c r="O27">
        <v>194</v>
      </c>
      <c r="P27">
        <v>272</v>
      </c>
      <c r="Q27">
        <v>78</v>
      </c>
      <c r="R27">
        <v>2.0510700000000002</v>
      </c>
      <c r="S27">
        <v>71.8</v>
      </c>
      <c r="T27">
        <v>103.6</v>
      </c>
      <c r="U27">
        <v>31.8</v>
      </c>
      <c r="V27">
        <v>1.8904700000000001</v>
      </c>
      <c r="W27" s="59"/>
      <c r="Z27" t="s">
        <v>257</v>
      </c>
    </row>
    <row r="28" spans="1:28" x14ac:dyDescent="0.3">
      <c r="M28">
        <v>85</v>
      </c>
      <c r="N28" t="s">
        <v>42</v>
      </c>
      <c r="O28">
        <v>222</v>
      </c>
      <c r="P28">
        <v>253</v>
      </c>
      <c r="Q28">
        <v>31</v>
      </c>
      <c r="R28">
        <v>5.3028500000000003</v>
      </c>
      <c r="S28">
        <v>244.9</v>
      </c>
      <c r="T28">
        <v>357.9</v>
      </c>
      <c r="U28">
        <v>113</v>
      </c>
      <c r="V28">
        <v>1.82694</v>
      </c>
      <c r="W28" s="59"/>
      <c r="Z28" t="s">
        <v>258</v>
      </c>
    </row>
    <row r="29" spans="1:28" x14ac:dyDescent="0.3">
      <c r="M29">
        <v>82</v>
      </c>
      <c r="N29" t="s">
        <v>42</v>
      </c>
      <c r="O29">
        <v>191</v>
      </c>
      <c r="P29">
        <v>218</v>
      </c>
      <c r="Q29">
        <v>27</v>
      </c>
      <c r="R29">
        <v>5.2423099999999998</v>
      </c>
      <c r="S29">
        <v>233.8</v>
      </c>
      <c r="T29">
        <v>345.8</v>
      </c>
      <c r="U29">
        <v>112</v>
      </c>
      <c r="V29">
        <v>1.7709699999999999</v>
      </c>
      <c r="W29" s="59"/>
      <c r="Z29" t="s">
        <v>259</v>
      </c>
    </row>
    <row r="30" spans="1:28" x14ac:dyDescent="0.3">
      <c r="M30">
        <v>81</v>
      </c>
      <c r="N30" t="s">
        <v>41</v>
      </c>
      <c r="O30">
        <v>80</v>
      </c>
      <c r="P30">
        <v>81</v>
      </c>
      <c r="Q30">
        <v>1</v>
      </c>
      <c r="R30">
        <v>55.797629999999998</v>
      </c>
      <c r="S30">
        <v>163.9</v>
      </c>
      <c r="T30">
        <v>248.2</v>
      </c>
      <c r="U30">
        <v>84.3</v>
      </c>
      <c r="V30">
        <v>1.67032</v>
      </c>
      <c r="W30" s="59"/>
      <c r="Z30" t="s">
        <v>260</v>
      </c>
    </row>
    <row r="31" spans="1:28" x14ac:dyDescent="0.3">
      <c r="M31">
        <v>96</v>
      </c>
      <c r="N31" t="s">
        <v>42</v>
      </c>
      <c r="O31">
        <v>556</v>
      </c>
      <c r="P31">
        <v>768</v>
      </c>
      <c r="Q31">
        <v>212</v>
      </c>
      <c r="R31">
        <v>2.1458200000000001</v>
      </c>
      <c r="S31">
        <v>255.8</v>
      </c>
      <c r="T31">
        <v>389.6</v>
      </c>
      <c r="U31">
        <v>133.80000000000001</v>
      </c>
      <c r="V31">
        <v>1.64751</v>
      </c>
      <c r="W31" s="59"/>
    </row>
    <row r="32" spans="1:28" x14ac:dyDescent="0.3">
      <c r="M32">
        <v>59</v>
      </c>
      <c r="N32" t="s">
        <v>41</v>
      </c>
      <c r="O32">
        <v>37</v>
      </c>
      <c r="P32">
        <v>37</v>
      </c>
      <c r="Q32">
        <v>0</v>
      </c>
      <c r="R32" t="s">
        <v>244</v>
      </c>
      <c r="S32">
        <v>42.4</v>
      </c>
      <c r="T32">
        <v>64.7</v>
      </c>
      <c r="U32">
        <v>22.3</v>
      </c>
      <c r="V32">
        <v>1.64015</v>
      </c>
      <c r="W32" s="59"/>
      <c r="Z32" t="s">
        <v>150</v>
      </c>
      <c r="AA32" t="s">
        <v>150</v>
      </c>
      <c r="AB32" t="s">
        <v>261</v>
      </c>
    </row>
    <row r="33" spans="13:28" x14ac:dyDescent="0.3">
      <c r="M33">
        <v>97</v>
      </c>
      <c r="N33" t="s">
        <v>41</v>
      </c>
      <c r="O33">
        <v>47</v>
      </c>
      <c r="P33">
        <v>54</v>
      </c>
      <c r="Q33">
        <v>7</v>
      </c>
      <c r="R33">
        <v>4.99254</v>
      </c>
      <c r="S33">
        <v>105.7</v>
      </c>
      <c r="T33">
        <v>166.7</v>
      </c>
      <c r="U33">
        <v>61</v>
      </c>
      <c r="V33">
        <v>1.52142</v>
      </c>
      <c r="W33" s="59"/>
      <c r="Z33" t="s">
        <v>150</v>
      </c>
      <c r="AA33" t="s">
        <v>150</v>
      </c>
      <c r="AB33" t="s">
        <v>262</v>
      </c>
    </row>
    <row r="34" spans="13:28" x14ac:dyDescent="0.3">
      <c r="M34">
        <v>87</v>
      </c>
      <c r="N34" t="s">
        <v>41</v>
      </c>
      <c r="O34">
        <v>101</v>
      </c>
      <c r="P34">
        <v>103</v>
      </c>
      <c r="Q34">
        <v>2</v>
      </c>
      <c r="R34">
        <v>35.34937</v>
      </c>
      <c r="S34">
        <v>100.5</v>
      </c>
      <c r="T34">
        <v>180.3</v>
      </c>
      <c r="U34">
        <v>79.8</v>
      </c>
      <c r="V34">
        <v>1.1859500000000001</v>
      </c>
      <c r="W34" s="59"/>
      <c r="Z34" t="s">
        <v>153</v>
      </c>
      <c r="AA34" t="s">
        <v>250</v>
      </c>
      <c r="AB34" t="s">
        <v>251</v>
      </c>
    </row>
    <row r="35" spans="13:28" x14ac:dyDescent="0.3">
      <c r="M35">
        <v>69</v>
      </c>
      <c r="N35" t="s">
        <v>41</v>
      </c>
      <c r="O35">
        <v>21</v>
      </c>
      <c r="P35">
        <v>21</v>
      </c>
      <c r="Q35">
        <v>0</v>
      </c>
      <c r="R35" t="s">
        <v>244</v>
      </c>
      <c r="S35">
        <v>53.7</v>
      </c>
      <c r="T35">
        <v>99.3</v>
      </c>
      <c r="U35">
        <v>45.6</v>
      </c>
      <c r="V35">
        <v>1.1275599999999999</v>
      </c>
      <c r="W35" s="59"/>
      <c r="Z35">
        <v>81</v>
      </c>
      <c r="AA35">
        <v>1.6703211594615599</v>
      </c>
      <c r="AB35">
        <v>55.797630484028602</v>
      </c>
    </row>
    <row r="36" spans="13:28" x14ac:dyDescent="0.3">
      <c r="M36">
        <v>64</v>
      </c>
      <c r="N36" t="s">
        <v>41</v>
      </c>
      <c r="O36">
        <v>63</v>
      </c>
      <c r="P36">
        <v>67</v>
      </c>
      <c r="Q36">
        <v>4</v>
      </c>
      <c r="R36">
        <v>11.26009</v>
      </c>
      <c r="S36">
        <v>53.3</v>
      </c>
      <c r="T36">
        <v>104.7</v>
      </c>
      <c r="U36">
        <v>51.4</v>
      </c>
      <c r="V36">
        <v>1.02664</v>
      </c>
      <c r="W36" s="59"/>
      <c r="Z36">
        <v>92</v>
      </c>
      <c r="AA36">
        <v>2.92758440395093</v>
      </c>
      <c r="AB36">
        <v>41.241286430664502</v>
      </c>
    </row>
    <row r="37" spans="13:28" x14ac:dyDescent="0.3">
      <c r="M37">
        <v>78</v>
      </c>
      <c r="N37" t="s">
        <v>42</v>
      </c>
      <c r="O37">
        <v>81</v>
      </c>
      <c r="P37">
        <v>97</v>
      </c>
      <c r="Q37">
        <v>16</v>
      </c>
      <c r="R37">
        <v>3.8452199999999999</v>
      </c>
      <c r="S37">
        <v>82.4</v>
      </c>
      <c r="T37">
        <v>168.4</v>
      </c>
      <c r="U37">
        <v>86</v>
      </c>
      <c r="V37">
        <v>0.96977000000000002</v>
      </c>
      <c r="W37" s="59"/>
      <c r="Z37">
        <v>87</v>
      </c>
      <c r="AA37">
        <v>1.1859527754741701</v>
      </c>
      <c r="AB37">
        <v>35.349373586093698</v>
      </c>
    </row>
    <row r="38" spans="13:28" x14ac:dyDescent="0.3">
      <c r="M38">
        <v>76</v>
      </c>
      <c r="N38" t="s">
        <v>42</v>
      </c>
      <c r="O38">
        <v>69</v>
      </c>
      <c r="P38">
        <v>105</v>
      </c>
      <c r="Q38">
        <v>36</v>
      </c>
      <c r="R38">
        <v>1.6509199999999999</v>
      </c>
      <c r="S38">
        <v>53.4</v>
      </c>
      <c r="T38">
        <v>112.2</v>
      </c>
      <c r="U38">
        <v>58.8</v>
      </c>
      <c r="V38">
        <v>0.93357000000000001</v>
      </c>
      <c r="W38" s="59"/>
      <c r="Z38">
        <v>91</v>
      </c>
      <c r="AA38">
        <v>4.5355219587329003</v>
      </c>
      <c r="AB38">
        <v>16.841099171232599</v>
      </c>
    </row>
    <row r="39" spans="13:28" x14ac:dyDescent="0.3">
      <c r="M39">
        <v>52</v>
      </c>
      <c r="N39" t="s">
        <v>41</v>
      </c>
      <c r="O39">
        <v>0</v>
      </c>
      <c r="P39">
        <v>1</v>
      </c>
      <c r="Q39">
        <v>1</v>
      </c>
      <c r="R39">
        <v>0</v>
      </c>
      <c r="S39">
        <v>20.8</v>
      </c>
      <c r="T39">
        <v>45.7</v>
      </c>
      <c r="U39">
        <v>24.9</v>
      </c>
      <c r="V39">
        <v>0.88058000000000003</v>
      </c>
      <c r="W39" s="59"/>
      <c r="Z39">
        <v>64</v>
      </c>
      <c r="AA39">
        <v>1.0266371224975599</v>
      </c>
      <c r="AB39">
        <v>11.260086185313799</v>
      </c>
    </row>
    <row r="40" spans="13:28" x14ac:dyDescent="0.3">
      <c r="M40">
        <v>50</v>
      </c>
      <c r="N40" t="s">
        <v>41</v>
      </c>
      <c r="O40">
        <v>0</v>
      </c>
      <c r="P40">
        <v>1</v>
      </c>
      <c r="Q40">
        <v>1</v>
      </c>
      <c r="R40">
        <v>0</v>
      </c>
      <c r="S40">
        <v>26.3</v>
      </c>
      <c r="T40">
        <v>60.7</v>
      </c>
      <c r="U40">
        <v>34.4</v>
      </c>
      <c r="V40">
        <v>0.82874999999999999</v>
      </c>
      <c r="W40" s="59"/>
      <c r="Z40">
        <v>97</v>
      </c>
      <c r="AA40">
        <v>1.5214245616098601</v>
      </c>
      <c r="AB40">
        <v>4.9925448702448296</v>
      </c>
    </row>
    <row r="41" spans="13:28" x14ac:dyDescent="0.3">
      <c r="M41">
        <v>53</v>
      </c>
      <c r="N41" t="s">
        <v>41</v>
      </c>
      <c r="O41">
        <v>0</v>
      </c>
      <c r="P41">
        <v>1</v>
      </c>
      <c r="Q41">
        <v>1</v>
      </c>
      <c r="R41">
        <v>0</v>
      </c>
      <c r="S41">
        <v>67.099999999999994</v>
      </c>
      <c r="T41">
        <v>166.7</v>
      </c>
      <c r="U41">
        <v>99.6</v>
      </c>
      <c r="V41">
        <v>0.76168999999999998</v>
      </c>
      <c r="W41" s="59"/>
      <c r="Z41">
        <v>73</v>
      </c>
      <c r="AA41">
        <v>4.3470310224889204</v>
      </c>
      <c r="AB41">
        <v>3.03667429271291</v>
      </c>
    </row>
    <row r="42" spans="13:28" x14ac:dyDescent="0.3">
      <c r="M42">
        <v>17</v>
      </c>
      <c r="N42" t="s">
        <v>41</v>
      </c>
      <c r="O42">
        <v>0</v>
      </c>
      <c r="P42">
        <v>1</v>
      </c>
      <c r="Q42">
        <v>1</v>
      </c>
      <c r="R42">
        <v>0</v>
      </c>
      <c r="S42">
        <v>6.3</v>
      </c>
      <c r="T42">
        <v>19.8</v>
      </c>
      <c r="U42">
        <v>13.5</v>
      </c>
      <c r="V42">
        <v>0.60529999999999995</v>
      </c>
      <c r="W42" s="59"/>
      <c r="Z42">
        <v>72</v>
      </c>
      <c r="AA42">
        <v>18.969584471277301</v>
      </c>
      <c r="AB42">
        <v>1.9900484026476399</v>
      </c>
    </row>
    <row r="43" spans="13:28" x14ac:dyDescent="0.3">
      <c r="Z43">
        <v>61</v>
      </c>
      <c r="AA43">
        <v>4.0334369756325703</v>
      </c>
      <c r="AB43">
        <v>1.88496184653024</v>
      </c>
    </row>
    <row r="44" spans="13:28" x14ac:dyDescent="0.3">
      <c r="Z44">
        <v>75</v>
      </c>
      <c r="AA44">
        <v>7.9733175890349104</v>
      </c>
      <c r="AB44">
        <v>1.77974296962276</v>
      </c>
    </row>
    <row r="45" spans="13:28" x14ac:dyDescent="0.3">
      <c r="Z45">
        <v>57</v>
      </c>
      <c r="AA45">
        <v>2.1462626022611202</v>
      </c>
      <c r="AB45">
        <v>1.7095112913514501</v>
      </c>
    </row>
    <row r="46" spans="13:28" x14ac:dyDescent="0.3">
      <c r="Z46">
        <v>71</v>
      </c>
      <c r="AA46">
        <v>2.36939090062645</v>
      </c>
      <c r="AB46">
        <v>1.3569154488567201</v>
      </c>
    </row>
    <row r="47" spans="13:28" x14ac:dyDescent="0.3">
      <c r="Z47">
        <v>70</v>
      </c>
      <c r="AA47">
        <v>3.8084673440058698</v>
      </c>
      <c r="AB47">
        <v>1.17924958483937</v>
      </c>
    </row>
    <row r="48" spans="13:28" x14ac:dyDescent="0.3">
      <c r="Z48">
        <v>67</v>
      </c>
      <c r="AA48">
        <v>7.1455288125570897</v>
      </c>
      <c r="AB48">
        <v>1</v>
      </c>
    </row>
    <row r="49" spans="26:28" x14ac:dyDescent="0.3">
      <c r="Z49">
        <v>74</v>
      </c>
      <c r="AA49">
        <v>2.2890908892788602</v>
      </c>
      <c r="AB49">
        <v>0.55329475566511199</v>
      </c>
    </row>
    <row r="50" spans="26:28" x14ac:dyDescent="0.3">
      <c r="Z50">
        <v>17</v>
      </c>
      <c r="AA50">
        <v>0.60529877460913695</v>
      </c>
      <c r="AB50">
        <v>0</v>
      </c>
    </row>
    <row r="51" spans="26:28" x14ac:dyDescent="0.3">
      <c r="Z51">
        <v>53</v>
      </c>
      <c r="AA51">
        <v>0.76169036693752001</v>
      </c>
      <c r="AB51">
        <v>0</v>
      </c>
    </row>
    <row r="52" spans="26:28" x14ac:dyDescent="0.3">
      <c r="Z52">
        <v>50</v>
      </c>
      <c r="AA52">
        <v>0.82875191198585496</v>
      </c>
      <c r="AB52">
        <v>0</v>
      </c>
    </row>
    <row r="53" spans="26:28" x14ac:dyDescent="0.3">
      <c r="Z53">
        <v>52</v>
      </c>
      <c r="AA53">
        <v>0.88058350942789498</v>
      </c>
      <c r="AB53">
        <v>0</v>
      </c>
    </row>
    <row r="54" spans="26:28" x14ac:dyDescent="0.3">
      <c r="Z54">
        <v>69</v>
      </c>
      <c r="AA54">
        <v>1.1275589010726801</v>
      </c>
      <c r="AB54">
        <v>0</v>
      </c>
    </row>
    <row r="55" spans="26:28" x14ac:dyDescent="0.3">
      <c r="Z55">
        <v>59</v>
      </c>
      <c r="AA55">
        <v>1.6401470001692</v>
      </c>
      <c r="AB55">
        <v>0</v>
      </c>
    </row>
    <row r="56" spans="26:28" x14ac:dyDescent="0.3">
      <c r="Z56">
        <v>49</v>
      </c>
      <c r="AA56">
        <v>1.91635893552736</v>
      </c>
      <c r="AB56">
        <v>0</v>
      </c>
    </row>
    <row r="57" spans="26:28" x14ac:dyDescent="0.3">
      <c r="Z57">
        <v>68</v>
      </c>
      <c r="AA57">
        <v>3.2768082671672301</v>
      </c>
      <c r="AB57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4BC-2DB5-48C0-A9AC-169B7C60D5F9}">
  <dimension ref="A1:GS113"/>
  <sheetViews>
    <sheetView topLeftCell="EG1" zoomScale="70" zoomScaleNormal="70" workbookViewId="0">
      <selection activeCell="GR49" sqref="GR49"/>
    </sheetView>
  </sheetViews>
  <sheetFormatPr defaultRowHeight="14.4" x14ac:dyDescent="0.3"/>
  <cols>
    <col min="6" max="6" width="12.21875" customWidth="1"/>
    <col min="10" max="10" width="13.109375" customWidth="1"/>
    <col min="11" max="11" width="14.77734375" customWidth="1"/>
    <col min="29" max="29" width="14.33203125" customWidth="1"/>
    <col min="30" max="30" width="9.109375" customWidth="1"/>
    <col min="32" max="32" width="9.33203125" customWidth="1"/>
    <col min="33" max="33" width="15.33203125" customWidth="1"/>
    <col min="34" max="34" width="17.5546875" customWidth="1"/>
    <col min="35" max="35" width="10" customWidth="1"/>
    <col min="41" max="41" width="8.88671875" customWidth="1"/>
    <col min="55" max="55" width="22.33203125" customWidth="1"/>
    <col min="56" max="56" width="17" customWidth="1"/>
    <col min="78" max="78" width="10.109375" customWidth="1"/>
    <col min="79" max="79" width="8.5546875" customWidth="1"/>
    <col min="102" max="102" width="10.109375" customWidth="1"/>
    <col min="103" max="103" width="17.88671875" customWidth="1"/>
    <col min="114" max="114" width="11.6640625" customWidth="1"/>
    <col min="115" max="115" width="20.44140625" customWidth="1"/>
    <col min="124" max="124" width="10.77734375" customWidth="1"/>
    <col min="126" max="126" width="11.6640625" customWidth="1"/>
    <col min="127" max="127" width="21.77734375" customWidth="1"/>
    <col min="138" max="138" width="10" customWidth="1"/>
    <col min="139" max="139" width="17.44140625" customWidth="1"/>
    <col min="149" max="149" width="7.33203125" customWidth="1"/>
    <col min="150" max="150" width="16.109375" bestFit="1" customWidth="1"/>
    <col min="151" max="151" width="15.77734375" customWidth="1"/>
    <col min="162" max="162" width="10.109375" customWidth="1"/>
    <col min="163" max="163" width="14.44140625" customWidth="1"/>
    <col min="171" max="171" width="9.21875" customWidth="1"/>
    <col min="172" max="172" width="12.5546875" customWidth="1"/>
    <col min="181" max="181" width="18.5546875" bestFit="1" customWidth="1"/>
    <col min="182" max="182" width="13.88671875" bestFit="1" customWidth="1"/>
    <col min="183" max="183" width="12.44140625" customWidth="1"/>
    <col min="185" max="185" width="8.77734375" customWidth="1"/>
    <col min="188" max="188" width="6.6640625" bestFit="1" customWidth="1"/>
    <col min="189" max="189" width="12.21875" bestFit="1" customWidth="1"/>
    <col min="193" max="193" width="27.88671875" customWidth="1"/>
    <col min="194" max="194" width="12" bestFit="1" customWidth="1"/>
    <col min="195" max="195" width="9.109375" bestFit="1" customWidth="1"/>
    <col min="197" max="197" width="10.109375" customWidth="1"/>
    <col min="201" max="201" width="12.6640625" customWidth="1"/>
  </cols>
  <sheetData>
    <row r="1" spans="1:201" x14ac:dyDescent="0.3">
      <c r="A1" t="s">
        <v>238</v>
      </c>
      <c r="B1" t="s">
        <v>263</v>
      </c>
      <c r="C1" t="s">
        <v>264</v>
      </c>
      <c r="D1" t="s">
        <v>265</v>
      </c>
      <c r="X1" t="s">
        <v>238</v>
      </c>
      <c r="Y1" t="s">
        <v>266</v>
      </c>
      <c r="Z1" t="s">
        <v>239</v>
      </c>
      <c r="AO1" t="s">
        <v>150</v>
      </c>
      <c r="AP1" t="s">
        <v>150</v>
      </c>
      <c r="AQ1" t="s">
        <v>290</v>
      </c>
      <c r="BA1" t="s">
        <v>150</v>
      </c>
      <c r="BB1" t="s">
        <v>150</v>
      </c>
      <c r="BC1" t="s">
        <v>302</v>
      </c>
      <c r="BM1" t="s">
        <v>150</v>
      </c>
      <c r="BN1" t="s">
        <v>150</v>
      </c>
      <c r="BO1" t="s">
        <v>314</v>
      </c>
      <c r="BY1" t="s">
        <v>150</v>
      </c>
      <c r="BZ1" t="s">
        <v>150</v>
      </c>
      <c r="CA1" t="s">
        <v>384</v>
      </c>
      <c r="CK1" t="s">
        <v>150</v>
      </c>
      <c r="CL1" t="s">
        <v>150</v>
      </c>
      <c r="CM1" t="s">
        <v>322</v>
      </c>
      <c r="CW1" t="s">
        <v>150</v>
      </c>
      <c r="CX1" t="s">
        <v>150</v>
      </c>
      <c r="CY1" t="s">
        <v>334</v>
      </c>
      <c r="DI1" t="s">
        <v>150</v>
      </c>
      <c r="DJ1" t="s">
        <v>150</v>
      </c>
      <c r="DK1" t="s">
        <v>356</v>
      </c>
      <c r="DU1" t="s">
        <v>150</v>
      </c>
      <c r="DV1" t="s">
        <v>150</v>
      </c>
      <c r="DW1" t="s">
        <v>368</v>
      </c>
      <c r="EG1" t="s">
        <v>150</v>
      </c>
      <c r="EH1" t="s">
        <v>150</v>
      </c>
      <c r="EI1" t="s">
        <v>381</v>
      </c>
      <c r="ES1" t="s">
        <v>150</v>
      </c>
      <c r="ET1" t="s">
        <v>150</v>
      </c>
      <c r="EU1" t="s">
        <v>381</v>
      </c>
      <c r="FE1" t="s">
        <v>150</v>
      </c>
      <c r="FF1" t="s">
        <v>150</v>
      </c>
      <c r="FG1" t="s">
        <v>358</v>
      </c>
      <c r="FN1" t="s">
        <v>150</v>
      </c>
      <c r="FO1" t="s">
        <v>150</v>
      </c>
      <c r="FP1" t="s">
        <v>360</v>
      </c>
      <c r="FY1" t="s">
        <v>150</v>
      </c>
      <c r="FZ1" t="s">
        <v>150</v>
      </c>
      <c r="GA1" t="s">
        <v>363</v>
      </c>
      <c r="GK1" t="s">
        <v>366</v>
      </c>
      <c r="GL1" t="s">
        <v>27</v>
      </c>
      <c r="GM1" t="s">
        <v>365</v>
      </c>
      <c r="GN1" t="s">
        <v>281</v>
      </c>
      <c r="GO1" t="s">
        <v>282</v>
      </c>
      <c r="GP1" t="s">
        <v>283</v>
      </c>
      <c r="GQ1" t="s">
        <v>284</v>
      </c>
      <c r="GR1" t="s">
        <v>285</v>
      </c>
      <c r="GS1" t="s">
        <v>286</v>
      </c>
    </row>
    <row r="2" spans="1:201" x14ac:dyDescent="0.3">
      <c r="A2" t="s">
        <v>153</v>
      </c>
      <c r="B2" t="s">
        <v>27</v>
      </c>
      <c r="C2" t="s">
        <v>65</v>
      </c>
      <c r="D2" t="s">
        <v>66</v>
      </c>
      <c r="E2" t="s">
        <v>84</v>
      </c>
      <c r="F2" t="s">
        <v>241</v>
      </c>
      <c r="G2" t="s">
        <v>67</v>
      </c>
      <c r="H2" t="s">
        <v>68</v>
      </c>
      <c r="I2" t="s">
        <v>85</v>
      </c>
      <c r="J2" t="s">
        <v>242</v>
      </c>
      <c r="K2" t="s">
        <v>243</v>
      </c>
      <c r="X2" s="64" t="s">
        <v>153</v>
      </c>
      <c r="Y2" s="65" t="s">
        <v>27</v>
      </c>
      <c r="Z2" s="65" t="s">
        <v>65</v>
      </c>
      <c r="AA2" s="65" t="s">
        <v>66</v>
      </c>
      <c r="AB2" s="65" t="s">
        <v>84</v>
      </c>
      <c r="AC2" s="65" t="s">
        <v>241</v>
      </c>
      <c r="AD2" s="65" t="s">
        <v>67</v>
      </c>
      <c r="AE2" s="65" t="s">
        <v>68</v>
      </c>
      <c r="AF2" s="65" t="s">
        <v>85</v>
      </c>
      <c r="AG2" s="65" t="s">
        <v>242</v>
      </c>
      <c r="AH2" s="65" t="s">
        <v>243</v>
      </c>
      <c r="AI2" s="65" t="s">
        <v>267</v>
      </c>
      <c r="AO2" t="s">
        <v>150</v>
      </c>
      <c r="AP2" t="s">
        <v>150</v>
      </c>
      <c r="AQ2" t="s">
        <v>291</v>
      </c>
      <c r="AR2">
        <v>4674</v>
      </c>
      <c r="BA2" t="s">
        <v>150</v>
      </c>
      <c r="BB2" t="s">
        <v>150</v>
      </c>
      <c r="BC2" t="s">
        <v>303</v>
      </c>
      <c r="BM2" t="s">
        <v>150</v>
      </c>
      <c r="BN2" t="s">
        <v>150</v>
      </c>
      <c r="BO2" t="s">
        <v>315</v>
      </c>
      <c r="BY2" t="s">
        <v>150</v>
      </c>
      <c r="BZ2" t="s">
        <v>150</v>
      </c>
      <c r="CA2" t="s">
        <v>385</v>
      </c>
      <c r="CK2" t="s">
        <v>150</v>
      </c>
      <c r="CL2" t="s">
        <v>150</v>
      </c>
      <c r="CM2" t="s">
        <v>287</v>
      </c>
      <c r="CW2" t="s">
        <v>150</v>
      </c>
      <c r="CX2" t="s">
        <v>150</v>
      </c>
      <c r="CY2" t="s">
        <v>335</v>
      </c>
      <c r="DI2" t="s">
        <v>150</v>
      </c>
      <c r="DJ2" t="s">
        <v>150</v>
      </c>
      <c r="DK2" t="s">
        <v>357</v>
      </c>
      <c r="DU2" t="s">
        <v>150</v>
      </c>
      <c r="DV2" t="s">
        <v>150</v>
      </c>
      <c r="DW2" t="s">
        <v>369</v>
      </c>
      <c r="EG2" t="s">
        <v>150</v>
      </c>
      <c r="EH2" t="s">
        <v>150</v>
      </c>
      <c r="EI2" t="s">
        <v>382</v>
      </c>
      <c r="ES2" t="s">
        <v>150</v>
      </c>
      <c r="ET2" t="s">
        <v>150</v>
      </c>
      <c r="EU2" t="s">
        <v>382</v>
      </c>
      <c r="FE2" t="s">
        <v>150</v>
      </c>
      <c r="FF2" t="s">
        <v>150</v>
      </c>
      <c r="FG2" t="s">
        <v>359</v>
      </c>
      <c r="FN2" t="s">
        <v>150</v>
      </c>
      <c r="FO2" t="s">
        <v>150</v>
      </c>
      <c r="FP2" t="s">
        <v>361</v>
      </c>
      <c r="FY2" t="s">
        <v>150</v>
      </c>
      <c r="FZ2" t="s">
        <v>150</v>
      </c>
      <c r="GA2" t="s">
        <v>364</v>
      </c>
      <c r="GK2" s="2" t="s">
        <v>404</v>
      </c>
      <c r="GL2" s="2" t="s">
        <v>412</v>
      </c>
      <c r="GM2" s="83">
        <v>4.4930000000000003</v>
      </c>
      <c r="GN2" s="83">
        <v>0.64100000000000001</v>
      </c>
      <c r="GO2" s="83">
        <v>1.341</v>
      </c>
      <c r="GP2" s="83">
        <v>3.6999999999999998E-2</v>
      </c>
      <c r="GQ2" s="83">
        <v>-3.1199999999999999E-2</v>
      </c>
      <c r="GR2" s="83">
        <v>1.2470000000000001</v>
      </c>
      <c r="GS2" s="83">
        <v>0.56006632999999995</v>
      </c>
    </row>
    <row r="3" spans="1:201" x14ac:dyDescent="0.3">
      <c r="A3">
        <v>77</v>
      </c>
      <c r="B3" t="s">
        <v>39</v>
      </c>
      <c r="C3">
        <v>360</v>
      </c>
      <c r="D3">
        <v>353</v>
      </c>
      <c r="E3">
        <v>-7</v>
      </c>
      <c r="F3">
        <v>-35.299860000000002</v>
      </c>
      <c r="G3">
        <v>174.6</v>
      </c>
      <c r="H3">
        <v>210</v>
      </c>
      <c r="I3">
        <v>35.4</v>
      </c>
      <c r="J3">
        <v>3.7546599999999999</v>
      </c>
      <c r="K3" t="s">
        <v>245</v>
      </c>
      <c r="X3" s="60">
        <v>89</v>
      </c>
      <c r="Y3" s="61" t="s">
        <v>39</v>
      </c>
      <c r="Z3" s="61">
        <v>135</v>
      </c>
      <c r="AA3" s="61">
        <v>135</v>
      </c>
      <c r="AB3" s="61">
        <v>0</v>
      </c>
      <c r="AC3" s="61">
        <v>0</v>
      </c>
      <c r="AD3" s="61">
        <v>46.2</v>
      </c>
      <c r="AE3" s="61">
        <v>41.7</v>
      </c>
      <c r="AF3" s="61">
        <v>-4.5</v>
      </c>
      <c r="AG3" s="61">
        <v>-6.7638199999999999</v>
      </c>
      <c r="AH3" s="61" t="s">
        <v>245</v>
      </c>
      <c r="AI3" s="61">
        <f>IF(Table15[[#This Row],[Set]]="Zeta", -2, -20)</f>
        <v>-2</v>
      </c>
      <c r="AO3" t="s">
        <v>153</v>
      </c>
      <c r="AP3" t="s">
        <v>288</v>
      </c>
      <c r="AQ3" t="s">
        <v>292</v>
      </c>
      <c r="BA3" t="s">
        <v>153</v>
      </c>
      <c r="BB3" t="s">
        <v>288</v>
      </c>
      <c r="BC3" t="s">
        <v>304</v>
      </c>
      <c r="BD3" t="s">
        <v>321</v>
      </c>
      <c r="BM3" t="s">
        <v>153</v>
      </c>
      <c r="BN3" t="s">
        <v>288</v>
      </c>
      <c r="BO3" t="s">
        <v>304</v>
      </c>
      <c r="BY3" t="s">
        <v>153</v>
      </c>
      <c r="BZ3" t="s">
        <v>386</v>
      </c>
      <c r="CA3" t="s">
        <v>387</v>
      </c>
      <c r="CK3" t="s">
        <v>153</v>
      </c>
      <c r="CL3" t="s">
        <v>323</v>
      </c>
      <c r="CM3" t="s">
        <v>289</v>
      </c>
      <c r="CW3" t="s">
        <v>153</v>
      </c>
      <c r="CX3" s="1" t="s">
        <v>333</v>
      </c>
      <c r="CY3" s="1" t="s">
        <v>316</v>
      </c>
      <c r="DI3" s="26" t="s">
        <v>153</v>
      </c>
      <c r="DJ3" s="26" t="s">
        <v>354</v>
      </c>
      <c r="DK3" s="26" t="s">
        <v>355</v>
      </c>
      <c r="DT3" t="s">
        <v>139</v>
      </c>
      <c r="DU3" s="26" t="s">
        <v>153</v>
      </c>
      <c r="DV3" s="67" t="s">
        <v>370</v>
      </c>
      <c r="DW3" s="67" t="s">
        <v>371</v>
      </c>
      <c r="EG3" t="s">
        <v>153</v>
      </c>
      <c r="EH3" s="1" t="s">
        <v>383</v>
      </c>
      <c r="EI3" s="1" t="s">
        <v>316</v>
      </c>
      <c r="ES3" s="26" t="s">
        <v>153</v>
      </c>
      <c r="ET3" s="26" t="s">
        <v>383</v>
      </c>
      <c r="EU3" s="26" t="s">
        <v>316</v>
      </c>
      <c r="FE3" t="s">
        <v>153</v>
      </c>
      <c r="FF3" t="s">
        <v>333</v>
      </c>
      <c r="FG3" t="s">
        <v>316</v>
      </c>
      <c r="FN3" t="s">
        <v>153</v>
      </c>
      <c r="FO3" t="s">
        <v>354</v>
      </c>
      <c r="FP3" t="s">
        <v>355</v>
      </c>
      <c r="FY3" t="s">
        <v>153</v>
      </c>
      <c r="FZ3" t="s">
        <v>354</v>
      </c>
      <c r="GA3" t="s">
        <v>362</v>
      </c>
      <c r="GK3" s="16" t="s">
        <v>404</v>
      </c>
      <c r="GL3" s="16" t="s">
        <v>411</v>
      </c>
      <c r="GM3" s="84">
        <v>10.587</v>
      </c>
      <c r="GN3" s="84">
        <v>2.1840000000000002</v>
      </c>
      <c r="GO3" s="84">
        <v>1.4330000000000001</v>
      </c>
      <c r="GP3" s="84">
        <v>7.9000000000000001E-2</v>
      </c>
      <c r="GQ3" s="84">
        <v>-1.41E-2</v>
      </c>
      <c r="GR3" s="84">
        <v>4.2489999999999997</v>
      </c>
      <c r="GS3" s="84">
        <v>0.69681804000000003</v>
      </c>
    </row>
    <row r="4" spans="1:201" x14ac:dyDescent="0.3">
      <c r="A4">
        <v>63</v>
      </c>
      <c r="B4" t="s">
        <v>39</v>
      </c>
      <c r="C4">
        <v>68</v>
      </c>
      <c r="D4">
        <v>62</v>
      </c>
      <c r="E4">
        <v>-6</v>
      </c>
      <c r="F4">
        <v>-7.5037599999999998</v>
      </c>
      <c r="G4">
        <v>77.3</v>
      </c>
      <c r="H4">
        <v>96.1</v>
      </c>
      <c r="I4">
        <v>18.8</v>
      </c>
      <c r="J4">
        <v>3.1840199999999999</v>
      </c>
      <c r="K4" t="s">
        <v>245</v>
      </c>
      <c r="X4" s="60">
        <v>16</v>
      </c>
      <c r="Y4" s="61" t="s">
        <v>40</v>
      </c>
      <c r="Z4" s="61">
        <v>0</v>
      </c>
      <c r="AA4" s="61">
        <v>0</v>
      </c>
      <c r="AB4" s="61">
        <v>0</v>
      </c>
      <c r="AC4" s="61">
        <v>0</v>
      </c>
      <c r="AD4" s="61">
        <v>0</v>
      </c>
      <c r="AE4" s="61">
        <v>0</v>
      </c>
      <c r="AF4" s="61">
        <v>0</v>
      </c>
      <c r="AG4" s="61">
        <v>0</v>
      </c>
      <c r="AH4" s="61" t="s">
        <v>245</v>
      </c>
      <c r="AI4" s="61">
        <f>IF(Table15[[#This Row],[Set]]="Zeta", -2, -20)</f>
        <v>-20</v>
      </c>
      <c r="AO4">
        <v>17</v>
      </c>
      <c r="AP4">
        <v>1</v>
      </c>
      <c r="AQ4">
        <v>11.1687062813917</v>
      </c>
      <c r="BA4">
        <v>16</v>
      </c>
      <c r="BB4">
        <v>1</v>
      </c>
      <c r="BC4">
        <v>0</v>
      </c>
      <c r="BD4">
        <v>0</v>
      </c>
      <c r="BM4">
        <v>16</v>
      </c>
      <c r="BN4">
        <v>1</v>
      </c>
      <c r="BO4">
        <v>0</v>
      </c>
      <c r="BY4">
        <v>89</v>
      </c>
      <c r="BZ4">
        <v>4</v>
      </c>
      <c r="CA4">
        <v>-6.7638190992332996</v>
      </c>
      <c r="CK4">
        <v>89</v>
      </c>
      <c r="CL4">
        <v>1</v>
      </c>
      <c r="CM4">
        <v>-6.7638190992332996</v>
      </c>
      <c r="CW4">
        <v>16</v>
      </c>
      <c r="CX4" s="1">
        <v>0</v>
      </c>
      <c r="CY4" s="1">
        <v>0</v>
      </c>
      <c r="DI4" s="66">
        <v>84</v>
      </c>
      <c r="DJ4" s="66">
        <v>0.95985854692558203</v>
      </c>
      <c r="DK4" s="66">
        <v>2.0588235294117601</v>
      </c>
      <c r="DU4" s="66">
        <v>17</v>
      </c>
      <c r="DV4" s="68" t="s">
        <v>33</v>
      </c>
      <c r="DW4" s="68">
        <v>0</v>
      </c>
      <c r="EG4">
        <v>16</v>
      </c>
      <c r="EH4" s="1">
        <v>0</v>
      </c>
      <c r="EI4" s="1">
        <v>0</v>
      </c>
      <c r="ES4" s="66">
        <v>16</v>
      </c>
      <c r="ET4" s="75">
        <v>0</v>
      </c>
      <c r="EU4" s="75">
        <v>0</v>
      </c>
      <c r="FE4">
        <v>89</v>
      </c>
      <c r="FF4" s="1">
        <v>-6.7638190992332996</v>
      </c>
      <c r="FG4" s="1">
        <v>0.90259740259740195</v>
      </c>
      <c r="FN4">
        <v>77</v>
      </c>
      <c r="FO4">
        <v>-35.299861484584099</v>
      </c>
      <c r="FP4">
        <v>0.98055555555555496</v>
      </c>
      <c r="FY4">
        <v>77</v>
      </c>
      <c r="FZ4">
        <v>-35.299861484584099</v>
      </c>
      <c r="GA4">
        <v>1.0198300283286099</v>
      </c>
      <c r="GK4" t="s">
        <v>404</v>
      </c>
      <c r="GL4" t="s">
        <v>410</v>
      </c>
      <c r="GM4" s="73">
        <v>7.54</v>
      </c>
      <c r="GN4" s="73">
        <v>0.77200000000000002</v>
      </c>
      <c r="GO4" s="73">
        <v>1.387</v>
      </c>
      <c r="GP4" s="73">
        <v>2.9000000000000001E-2</v>
      </c>
      <c r="GQ4" s="73">
        <v>-1.37E-2</v>
      </c>
      <c r="GR4" s="73">
        <v>2.2130000000000001</v>
      </c>
      <c r="GS4" s="73">
        <v>0.70649521000000004</v>
      </c>
    </row>
    <row r="5" spans="1:201" x14ac:dyDescent="0.3">
      <c r="A5">
        <v>66</v>
      </c>
      <c r="B5" t="s">
        <v>39</v>
      </c>
      <c r="C5">
        <v>58</v>
      </c>
      <c r="D5">
        <v>39</v>
      </c>
      <c r="E5">
        <v>-19</v>
      </c>
      <c r="F5">
        <v>-1.74648</v>
      </c>
      <c r="G5">
        <v>91.1</v>
      </c>
      <c r="H5">
        <v>119.7</v>
      </c>
      <c r="I5">
        <v>28.6</v>
      </c>
      <c r="J5">
        <v>2.53871</v>
      </c>
      <c r="K5" t="s">
        <v>245</v>
      </c>
      <c r="X5" s="60">
        <v>19</v>
      </c>
      <c r="Y5" s="61" t="s">
        <v>40</v>
      </c>
      <c r="Z5" s="61">
        <v>0</v>
      </c>
      <c r="AA5" s="61">
        <v>0</v>
      </c>
      <c r="AB5" s="61">
        <v>0</v>
      </c>
      <c r="AC5" s="61">
        <v>0</v>
      </c>
      <c r="AD5" s="61">
        <v>0</v>
      </c>
      <c r="AE5" s="61">
        <v>13.6</v>
      </c>
      <c r="AF5" s="61">
        <v>13.6</v>
      </c>
      <c r="AG5" s="61">
        <v>0</v>
      </c>
      <c r="AH5" s="61" t="s">
        <v>245</v>
      </c>
      <c r="AI5" s="61">
        <f>IF(Table15[[#This Row],[Set]]="Zeta", -2, -20)</f>
        <v>-20</v>
      </c>
      <c r="AO5">
        <v>61</v>
      </c>
      <c r="AP5">
        <v>2</v>
      </c>
      <c r="AQ5">
        <v>13.9484766193301</v>
      </c>
      <c r="BA5">
        <v>19</v>
      </c>
      <c r="BB5">
        <v>2</v>
      </c>
      <c r="BC5">
        <v>0</v>
      </c>
      <c r="BD5">
        <v>0</v>
      </c>
      <c r="BM5">
        <v>19</v>
      </c>
      <c r="BN5">
        <v>2</v>
      </c>
      <c r="BO5">
        <v>0</v>
      </c>
      <c r="BY5">
        <v>16</v>
      </c>
      <c r="BZ5">
        <v>5</v>
      </c>
      <c r="CA5">
        <v>0</v>
      </c>
      <c r="CK5">
        <v>17</v>
      </c>
      <c r="CL5">
        <v>2</v>
      </c>
      <c r="CM5">
        <v>0.60529877460913695</v>
      </c>
      <c r="CW5">
        <v>19</v>
      </c>
      <c r="CX5" s="1">
        <v>0</v>
      </c>
      <c r="CY5" s="1">
        <v>0</v>
      </c>
      <c r="DI5">
        <v>79</v>
      </c>
      <c r="DJ5">
        <v>1.0432096687204899</v>
      </c>
      <c r="DK5">
        <v>1.9433962264150899</v>
      </c>
      <c r="DU5">
        <v>49</v>
      </c>
      <c r="DV5" s="1" t="s">
        <v>33</v>
      </c>
      <c r="DW5" s="1">
        <v>0</v>
      </c>
      <c r="EG5">
        <v>28</v>
      </c>
      <c r="EH5" s="1">
        <v>0</v>
      </c>
      <c r="EI5" s="1">
        <v>1</v>
      </c>
      <c r="ES5">
        <v>28</v>
      </c>
      <c r="ET5" s="73">
        <v>0</v>
      </c>
      <c r="EU5" s="73">
        <v>1</v>
      </c>
      <c r="FE5">
        <v>51</v>
      </c>
      <c r="FF5" s="1">
        <v>0.90947481200908398</v>
      </c>
      <c r="FG5" s="1">
        <v>2.1428571428571401</v>
      </c>
      <c r="FN5">
        <v>63</v>
      </c>
      <c r="FO5">
        <v>-7.5037595225205598</v>
      </c>
      <c r="FP5">
        <v>0.91176470588235203</v>
      </c>
      <c r="FY5">
        <v>63</v>
      </c>
      <c r="FZ5">
        <v>-7.5037595225205598</v>
      </c>
      <c r="GA5">
        <v>1.0967741935483799</v>
      </c>
      <c r="GK5" s="13" t="s">
        <v>404</v>
      </c>
      <c r="GL5" s="13" t="s">
        <v>407</v>
      </c>
      <c r="GM5" s="85">
        <v>-3.7530000000000001</v>
      </c>
      <c r="GN5" s="85">
        <v>3.387</v>
      </c>
      <c r="GO5" s="85">
        <v>0.65300000000000002</v>
      </c>
      <c r="GP5" s="85">
        <v>0.13900000000000001</v>
      </c>
      <c r="GQ5" s="85">
        <v>-6.7000000000000002E-3</v>
      </c>
      <c r="GR5" s="85">
        <v>4.4059999999999997</v>
      </c>
      <c r="GS5" s="85">
        <v>0.88787506999999999</v>
      </c>
    </row>
    <row r="6" spans="1:201" x14ac:dyDescent="0.3">
      <c r="A6">
        <v>89</v>
      </c>
      <c r="B6" t="s">
        <v>39</v>
      </c>
      <c r="C6">
        <v>135</v>
      </c>
      <c r="D6">
        <v>135</v>
      </c>
      <c r="E6">
        <v>0</v>
      </c>
      <c r="F6">
        <v>0</v>
      </c>
      <c r="G6">
        <v>46.2</v>
      </c>
      <c r="H6">
        <v>41.7</v>
      </c>
      <c r="I6">
        <v>-4.5</v>
      </c>
      <c r="J6">
        <v>-6.7638199999999999</v>
      </c>
      <c r="K6" t="s">
        <v>245</v>
      </c>
      <c r="X6" s="60">
        <v>26</v>
      </c>
      <c r="Y6" s="61" t="s">
        <v>40</v>
      </c>
      <c r="Z6" s="61">
        <v>0</v>
      </c>
      <c r="AA6" s="61">
        <v>0</v>
      </c>
      <c r="AB6" s="61">
        <v>0</v>
      </c>
      <c r="AC6" s="61">
        <v>0</v>
      </c>
      <c r="AD6" s="61">
        <v>0</v>
      </c>
      <c r="AE6" s="61">
        <v>9.1999999999999993</v>
      </c>
      <c r="AF6" s="61">
        <v>9.1999999999999993</v>
      </c>
      <c r="AG6" s="61">
        <v>0</v>
      </c>
      <c r="AH6" s="61" t="s">
        <v>245</v>
      </c>
      <c r="AI6" s="61">
        <f>IF(Table15[[#This Row],[Set]]="Zeta", -2, -20)</f>
        <v>-20</v>
      </c>
      <c r="AO6">
        <v>56</v>
      </c>
      <c r="AP6">
        <v>3</v>
      </c>
      <c r="AQ6">
        <v>21.920310216782902</v>
      </c>
      <c r="BA6">
        <v>26</v>
      </c>
      <c r="BB6">
        <v>3</v>
      </c>
      <c r="BC6">
        <v>0</v>
      </c>
      <c r="BD6">
        <v>0</v>
      </c>
      <c r="BM6">
        <v>26</v>
      </c>
      <c r="BN6">
        <v>3</v>
      </c>
      <c r="BO6">
        <v>0</v>
      </c>
      <c r="BY6">
        <v>28</v>
      </c>
      <c r="BZ6">
        <v>6</v>
      </c>
      <c r="CA6">
        <v>0</v>
      </c>
      <c r="CK6">
        <v>53</v>
      </c>
      <c r="CL6">
        <v>3</v>
      </c>
      <c r="CM6">
        <v>0.76169036693752001</v>
      </c>
      <c r="CW6">
        <v>26</v>
      </c>
      <c r="CX6" s="1">
        <v>0</v>
      </c>
      <c r="CY6" s="1">
        <v>0</v>
      </c>
      <c r="DI6">
        <v>76</v>
      </c>
      <c r="DJ6">
        <v>1.6509249299241</v>
      </c>
      <c r="DK6">
        <v>1.52173913043478</v>
      </c>
      <c r="DU6">
        <v>50</v>
      </c>
      <c r="DV6" s="1" t="s">
        <v>33</v>
      </c>
      <c r="DW6" s="1">
        <v>0</v>
      </c>
      <c r="EG6">
        <v>4</v>
      </c>
      <c r="EH6" s="1">
        <v>0.42773984632091899</v>
      </c>
      <c r="EI6" s="1">
        <v>5.05555555555555</v>
      </c>
      <c r="ES6">
        <v>4</v>
      </c>
      <c r="ET6" s="73">
        <v>0.42773984632091899</v>
      </c>
      <c r="EU6" s="73">
        <v>5.05555555555555</v>
      </c>
      <c r="FE6">
        <v>56</v>
      </c>
      <c r="FF6" s="1">
        <v>1</v>
      </c>
      <c r="FG6" s="1">
        <v>2</v>
      </c>
      <c r="FN6">
        <v>66</v>
      </c>
      <c r="FO6">
        <v>-1.74648457374294</v>
      </c>
      <c r="FP6">
        <v>0.67241379310344795</v>
      </c>
      <c r="FY6">
        <v>66</v>
      </c>
      <c r="FZ6">
        <v>-1.74648457374294</v>
      </c>
      <c r="GA6">
        <v>1.4871794871794799</v>
      </c>
      <c r="GK6" t="s">
        <v>404</v>
      </c>
      <c r="GL6" t="s">
        <v>406</v>
      </c>
      <c r="GM6" s="73">
        <v>5.1760000000000002</v>
      </c>
      <c r="GN6" s="73">
        <v>0.63400000000000001</v>
      </c>
      <c r="GO6" s="73">
        <v>1.234</v>
      </c>
      <c r="GP6" s="73">
        <v>2.7E-2</v>
      </c>
      <c r="GQ6" s="73">
        <v>-3.0000000000000001E-3</v>
      </c>
      <c r="GR6" s="73">
        <v>2.06</v>
      </c>
      <c r="GS6" s="73">
        <v>0.94551174999999998</v>
      </c>
    </row>
    <row r="7" spans="1:201" x14ac:dyDescent="0.3">
      <c r="A7">
        <v>17</v>
      </c>
      <c r="B7" t="s">
        <v>41</v>
      </c>
      <c r="C7">
        <v>0</v>
      </c>
      <c r="D7">
        <v>1</v>
      </c>
      <c r="E7">
        <v>1</v>
      </c>
      <c r="F7">
        <v>0</v>
      </c>
      <c r="G7">
        <v>6.3</v>
      </c>
      <c r="H7">
        <v>19.8</v>
      </c>
      <c r="I7">
        <v>13.5</v>
      </c>
      <c r="J7">
        <v>0.60529999999999995</v>
      </c>
      <c r="K7" t="s">
        <v>245</v>
      </c>
      <c r="X7" s="60">
        <v>28</v>
      </c>
      <c r="Y7" s="61" t="s">
        <v>40</v>
      </c>
      <c r="Z7" s="61">
        <v>0</v>
      </c>
      <c r="AA7" s="61">
        <v>0</v>
      </c>
      <c r="AB7" s="61">
        <v>0</v>
      </c>
      <c r="AC7" s="61">
        <v>0</v>
      </c>
      <c r="AD7" s="61">
        <v>5.3</v>
      </c>
      <c r="AE7" s="61">
        <v>5.3</v>
      </c>
      <c r="AF7" s="61">
        <v>0</v>
      </c>
      <c r="AG7" s="61">
        <v>0</v>
      </c>
      <c r="AH7" s="61" t="s">
        <v>245</v>
      </c>
      <c r="AI7" s="61">
        <f>IF(Table15[[#This Row],[Set]]="Zeta", -2, -20)</f>
        <v>-20</v>
      </c>
      <c r="AO7">
        <v>51</v>
      </c>
      <c r="AP7">
        <v>4</v>
      </c>
      <c r="AQ7">
        <v>28.691462144686799</v>
      </c>
      <c r="BA7">
        <v>32</v>
      </c>
      <c r="BB7">
        <v>4</v>
      </c>
      <c r="BC7">
        <v>0</v>
      </c>
      <c r="BD7">
        <v>0</v>
      </c>
      <c r="BM7">
        <v>32</v>
      </c>
      <c r="BN7">
        <v>4</v>
      </c>
      <c r="BO7">
        <v>0</v>
      </c>
      <c r="BY7">
        <v>4</v>
      </c>
      <c r="BZ7">
        <v>7</v>
      </c>
      <c r="CA7">
        <v>0.42773984632091899</v>
      </c>
      <c r="CK7">
        <v>50</v>
      </c>
      <c r="CL7">
        <v>4</v>
      </c>
      <c r="CM7">
        <v>0.82875191198585496</v>
      </c>
      <c r="CW7">
        <v>32</v>
      </c>
      <c r="CX7" s="1">
        <v>0</v>
      </c>
      <c r="CY7" s="1">
        <v>0</v>
      </c>
      <c r="DI7">
        <v>62</v>
      </c>
      <c r="DJ7">
        <v>1.65929799403658</v>
      </c>
      <c r="DK7">
        <v>1.5185185185185099</v>
      </c>
      <c r="DU7">
        <v>52</v>
      </c>
      <c r="DV7" s="1" t="s">
        <v>33</v>
      </c>
      <c r="DW7" s="1">
        <v>0</v>
      </c>
      <c r="EG7">
        <v>37</v>
      </c>
      <c r="EH7" s="1">
        <v>0.46718466342889597</v>
      </c>
      <c r="EI7" s="1">
        <v>4.4090909090909003</v>
      </c>
      <c r="ES7">
        <v>37</v>
      </c>
      <c r="ET7" s="73">
        <v>0.46718466342889597</v>
      </c>
      <c r="EU7" s="73">
        <v>4.4090909090909003</v>
      </c>
      <c r="FE7">
        <v>65</v>
      </c>
      <c r="FF7" s="1">
        <v>1.9530068344379501</v>
      </c>
      <c r="FG7" s="1">
        <v>1.4260563380281599</v>
      </c>
      <c r="FN7">
        <v>2</v>
      </c>
      <c r="FO7">
        <v>0</v>
      </c>
      <c r="FP7">
        <v>0</v>
      </c>
      <c r="FY7">
        <v>2</v>
      </c>
      <c r="FZ7">
        <v>0</v>
      </c>
      <c r="GA7">
        <v>0</v>
      </c>
      <c r="GK7" t="s">
        <v>404</v>
      </c>
      <c r="GL7" t="s">
        <v>408</v>
      </c>
      <c r="GM7" s="73">
        <v>2.4460000000000002</v>
      </c>
      <c r="GN7" s="73">
        <v>0.20799999999999999</v>
      </c>
      <c r="GO7" s="73">
        <v>0.58299999999999996</v>
      </c>
      <c r="GP7" s="73">
        <v>1.6E-2</v>
      </c>
      <c r="GQ7" s="73">
        <v>1.5100000000000001E-2</v>
      </c>
      <c r="GR7" s="73">
        <v>1</v>
      </c>
      <c r="GS7" s="73">
        <v>0.84314542999999997</v>
      </c>
    </row>
    <row r="8" spans="1:201" x14ac:dyDescent="0.3">
      <c r="A8">
        <v>53</v>
      </c>
      <c r="B8" t="s">
        <v>41</v>
      </c>
      <c r="C8">
        <v>0</v>
      </c>
      <c r="D8">
        <v>1</v>
      </c>
      <c r="E8">
        <v>1</v>
      </c>
      <c r="F8">
        <v>0</v>
      </c>
      <c r="G8">
        <v>67.099999999999994</v>
      </c>
      <c r="H8">
        <v>166.7</v>
      </c>
      <c r="I8">
        <v>99.6</v>
      </c>
      <c r="J8">
        <v>0.76168999999999998</v>
      </c>
      <c r="K8">
        <v>0.38102999999999998</v>
      </c>
      <c r="X8" s="60">
        <v>32</v>
      </c>
      <c r="Y8" s="61" t="s">
        <v>40</v>
      </c>
      <c r="Z8" s="61">
        <v>0</v>
      </c>
      <c r="AA8" s="61">
        <v>0</v>
      </c>
      <c r="AB8" s="61">
        <v>0</v>
      </c>
      <c r="AC8" s="61">
        <v>0</v>
      </c>
      <c r="AD8" s="61">
        <v>0</v>
      </c>
      <c r="AE8" s="61">
        <v>3.9</v>
      </c>
      <c r="AF8" s="61">
        <v>3.9</v>
      </c>
      <c r="AG8" s="61">
        <v>0</v>
      </c>
      <c r="AH8" s="61" t="s">
        <v>245</v>
      </c>
      <c r="AI8" s="61">
        <f>IF(Table15[[#This Row],[Set]]="Zeta", -2, -20)</f>
        <v>-20</v>
      </c>
      <c r="AO8">
        <v>52</v>
      </c>
      <c r="AP8">
        <v>5</v>
      </c>
      <c r="AQ8">
        <v>30.831153076069</v>
      </c>
      <c r="BA8">
        <v>28</v>
      </c>
      <c r="BB8">
        <v>5</v>
      </c>
      <c r="BC8">
        <v>0.69314718055994495</v>
      </c>
      <c r="BD8">
        <f t="shared" ref="BD8:BD51" si="0">LN(BC8)</f>
        <v>-0.36651292058166485</v>
      </c>
      <c r="BM8">
        <v>89</v>
      </c>
      <c r="BN8">
        <v>5</v>
      </c>
      <c r="BO8">
        <v>0.64322000660343803</v>
      </c>
      <c r="BY8">
        <v>37</v>
      </c>
      <c r="BZ8">
        <v>8</v>
      </c>
      <c r="CA8">
        <v>0.46718466342889597</v>
      </c>
      <c r="CK8">
        <v>52</v>
      </c>
      <c r="CL8">
        <v>5</v>
      </c>
      <c r="CM8">
        <v>0.88058350942789498</v>
      </c>
      <c r="CW8">
        <v>28</v>
      </c>
      <c r="CX8" s="1">
        <v>0</v>
      </c>
      <c r="CY8" s="1">
        <v>1</v>
      </c>
      <c r="DI8">
        <v>80</v>
      </c>
      <c r="DJ8">
        <v>1.8001193459475999</v>
      </c>
      <c r="DK8">
        <v>1.46969696969696</v>
      </c>
      <c r="DU8">
        <v>53</v>
      </c>
      <c r="DV8" s="1" t="s">
        <v>33</v>
      </c>
      <c r="DW8" s="1">
        <v>0</v>
      </c>
      <c r="EG8">
        <v>22</v>
      </c>
      <c r="EH8" s="1">
        <v>0.5</v>
      </c>
      <c r="EI8" s="1">
        <v>4</v>
      </c>
      <c r="ES8">
        <v>22</v>
      </c>
      <c r="ET8" s="73">
        <v>0.5</v>
      </c>
      <c r="EU8" s="73">
        <v>4</v>
      </c>
      <c r="FE8">
        <v>94</v>
      </c>
      <c r="FF8" s="1">
        <v>2.0565490951229899</v>
      </c>
      <c r="FG8" s="1">
        <v>1.4008004574042301</v>
      </c>
      <c r="FN8">
        <v>51</v>
      </c>
      <c r="FO8">
        <v>0</v>
      </c>
      <c r="FP8">
        <v>0</v>
      </c>
      <c r="FY8">
        <v>51</v>
      </c>
      <c r="FZ8">
        <v>0</v>
      </c>
      <c r="GA8">
        <v>0</v>
      </c>
      <c r="GK8" t="s">
        <v>404</v>
      </c>
      <c r="GL8" t="s">
        <v>409</v>
      </c>
      <c r="GM8" s="73">
        <v>3.1259999999999999</v>
      </c>
      <c r="GN8" s="73">
        <v>0.218</v>
      </c>
      <c r="GO8" s="73">
        <v>0.57499999999999996</v>
      </c>
      <c r="GP8" s="73">
        <v>1.7999999999999999E-2</v>
      </c>
      <c r="GQ8" s="73">
        <v>2.0899999999999998E-2</v>
      </c>
      <c r="GR8" s="73">
        <v>0.99299999999999999</v>
      </c>
      <c r="GS8" s="73">
        <v>0.80070803999999995</v>
      </c>
    </row>
    <row r="9" spans="1:201" x14ac:dyDescent="0.3">
      <c r="A9">
        <v>50</v>
      </c>
      <c r="B9" t="s">
        <v>41</v>
      </c>
      <c r="C9">
        <v>0</v>
      </c>
      <c r="D9">
        <v>1</v>
      </c>
      <c r="E9">
        <v>1</v>
      </c>
      <c r="F9">
        <v>0</v>
      </c>
      <c r="G9">
        <v>26.3</v>
      </c>
      <c r="H9">
        <v>60.7</v>
      </c>
      <c r="I9">
        <v>34.4</v>
      </c>
      <c r="J9">
        <v>0.82874999999999999</v>
      </c>
      <c r="K9" t="s">
        <v>245</v>
      </c>
      <c r="X9" s="60">
        <v>4</v>
      </c>
      <c r="Y9" s="61" t="s">
        <v>40</v>
      </c>
      <c r="Z9" s="61">
        <v>0</v>
      </c>
      <c r="AA9" s="61">
        <v>0</v>
      </c>
      <c r="AB9" s="61">
        <v>0</v>
      </c>
      <c r="AC9" s="61">
        <v>0</v>
      </c>
      <c r="AD9" s="61">
        <v>1.8</v>
      </c>
      <c r="AE9" s="61">
        <v>9.1</v>
      </c>
      <c r="AF9" s="61">
        <v>7.3</v>
      </c>
      <c r="AG9" s="61">
        <v>0.42774000000000001</v>
      </c>
      <c r="AH9" s="61" t="s">
        <v>245</v>
      </c>
      <c r="AI9" s="61">
        <f>IF(Table15[[#This Row],[Set]]="Zeta", -2, -20)</f>
        <v>-20</v>
      </c>
      <c r="AO9">
        <v>50</v>
      </c>
      <c r="AP9">
        <v>6</v>
      </c>
      <c r="AQ9">
        <v>39.9550997996501</v>
      </c>
      <c r="BA9">
        <v>45</v>
      </c>
      <c r="BB9">
        <v>6</v>
      </c>
      <c r="BC9">
        <v>0.71912266696320504</v>
      </c>
      <c r="BD9">
        <f t="shared" si="0"/>
        <v>-0.32972332807551524</v>
      </c>
      <c r="BM9">
        <v>28</v>
      </c>
      <c r="BN9">
        <v>6</v>
      </c>
      <c r="BO9">
        <v>0.69314718055994495</v>
      </c>
      <c r="BY9">
        <v>22</v>
      </c>
      <c r="BZ9">
        <v>9</v>
      </c>
      <c r="CA9">
        <v>0.5</v>
      </c>
      <c r="CK9">
        <v>51</v>
      </c>
      <c r="CL9">
        <v>6</v>
      </c>
      <c r="CM9">
        <v>0.90947481200908398</v>
      </c>
      <c r="CW9">
        <v>45</v>
      </c>
      <c r="CX9" s="1">
        <v>13.513407333964899</v>
      </c>
      <c r="CY9" s="1">
        <v>1.0526315789473599</v>
      </c>
      <c r="DI9">
        <v>99</v>
      </c>
      <c r="DJ9">
        <v>2.0510716888963598</v>
      </c>
      <c r="DK9">
        <v>1.4020618556701001</v>
      </c>
      <c r="DU9">
        <v>68</v>
      </c>
      <c r="DV9" s="1" t="s">
        <v>33</v>
      </c>
      <c r="DW9" s="1">
        <v>0</v>
      </c>
      <c r="EG9">
        <v>30</v>
      </c>
      <c r="EH9" s="1">
        <v>0.50183289462069203</v>
      </c>
      <c r="EI9" s="1">
        <v>3.9797979797979699</v>
      </c>
      <c r="ES9">
        <v>30</v>
      </c>
      <c r="ET9" s="73">
        <v>0.50183289462069203</v>
      </c>
      <c r="EU9" s="73">
        <v>3.9797979797979699</v>
      </c>
      <c r="FE9">
        <v>66</v>
      </c>
      <c r="FF9" s="1">
        <v>2.5387141651918199</v>
      </c>
      <c r="FG9" s="1">
        <v>1.3139407244785899</v>
      </c>
      <c r="FN9">
        <v>54</v>
      </c>
      <c r="FO9">
        <v>0</v>
      </c>
      <c r="FP9">
        <v>0</v>
      </c>
      <c r="FY9">
        <v>54</v>
      </c>
      <c r="FZ9">
        <v>0</v>
      </c>
      <c r="GA9">
        <v>0</v>
      </c>
      <c r="GK9" s="4" t="s">
        <v>404</v>
      </c>
      <c r="GL9" s="4" t="s">
        <v>405</v>
      </c>
      <c r="GM9" s="4">
        <v>0</v>
      </c>
      <c r="GN9" s="4">
        <v>0</v>
      </c>
      <c r="GO9" s="4">
        <v>0</v>
      </c>
      <c r="GP9" s="4">
        <v>0</v>
      </c>
      <c r="GQ9" s="4" t="s">
        <v>245</v>
      </c>
      <c r="GR9" s="4">
        <v>0</v>
      </c>
      <c r="GS9" s="4">
        <v>1</v>
      </c>
    </row>
    <row r="10" spans="1:201" x14ac:dyDescent="0.3">
      <c r="A10">
        <v>52</v>
      </c>
      <c r="B10" t="s">
        <v>41</v>
      </c>
      <c r="C10">
        <v>0</v>
      </c>
      <c r="D10">
        <v>1</v>
      </c>
      <c r="E10">
        <v>1</v>
      </c>
      <c r="F10">
        <v>0</v>
      </c>
      <c r="G10">
        <v>20.8</v>
      </c>
      <c r="H10">
        <v>45.7</v>
      </c>
      <c r="I10">
        <v>24.9</v>
      </c>
      <c r="J10">
        <v>0.88058000000000003</v>
      </c>
      <c r="K10" t="s">
        <v>245</v>
      </c>
      <c r="X10" s="60">
        <v>37</v>
      </c>
      <c r="Y10" s="61" t="s">
        <v>40</v>
      </c>
      <c r="Z10" s="61">
        <v>0</v>
      </c>
      <c r="AA10" s="61">
        <v>0</v>
      </c>
      <c r="AB10" s="61">
        <v>0</v>
      </c>
      <c r="AC10" s="61">
        <v>0</v>
      </c>
      <c r="AD10" s="61">
        <v>2.2000000000000002</v>
      </c>
      <c r="AE10" s="61">
        <v>9.6999999999999993</v>
      </c>
      <c r="AF10" s="61">
        <v>7.5</v>
      </c>
      <c r="AG10" s="61">
        <v>0.46717999999999998</v>
      </c>
      <c r="AH10" s="61" t="s">
        <v>245</v>
      </c>
      <c r="AI10" s="61">
        <f>IF(Table15[[#This Row],[Set]]="Zeta", -2, -20)</f>
        <v>-20</v>
      </c>
      <c r="AO10">
        <v>89</v>
      </c>
      <c r="AP10">
        <v>7</v>
      </c>
      <c r="AQ10">
        <v>43.892368357152897</v>
      </c>
      <c r="BA10">
        <v>27</v>
      </c>
      <c r="BB10">
        <v>7</v>
      </c>
      <c r="BC10">
        <v>0.74336693753897098</v>
      </c>
      <c r="BD10">
        <f t="shared" si="0"/>
        <v>-0.29656549676637789</v>
      </c>
      <c r="BM10">
        <v>72</v>
      </c>
      <c r="BN10">
        <v>7</v>
      </c>
      <c r="BO10">
        <v>0.71158402918390395</v>
      </c>
      <c r="BY10">
        <v>30</v>
      </c>
      <c r="BZ10">
        <v>10</v>
      </c>
      <c r="CA10">
        <v>0.50183289462069203</v>
      </c>
      <c r="CK10">
        <v>76</v>
      </c>
      <c r="CL10">
        <v>7</v>
      </c>
      <c r="CM10">
        <v>0.93356645079507306</v>
      </c>
      <c r="CW10">
        <v>27</v>
      </c>
      <c r="CX10" s="1">
        <v>7.0702154994970599</v>
      </c>
      <c r="CY10" s="1">
        <v>1.1030042918454901</v>
      </c>
      <c r="DI10">
        <v>96</v>
      </c>
      <c r="DJ10">
        <v>2.1458240757226399</v>
      </c>
      <c r="DK10">
        <v>1.3812949640287699</v>
      </c>
      <c r="DU10">
        <v>81</v>
      </c>
      <c r="DV10" s="1">
        <v>55.797630484028602</v>
      </c>
      <c r="DW10" s="1">
        <v>1.0125</v>
      </c>
      <c r="EG10">
        <v>48</v>
      </c>
      <c r="EH10" s="1">
        <v>0.50836634313100004</v>
      </c>
      <c r="EI10" s="1">
        <v>3.90977443609022</v>
      </c>
      <c r="ES10">
        <v>48</v>
      </c>
      <c r="ET10" s="73">
        <v>0.50836634313100004</v>
      </c>
      <c r="EU10" s="73">
        <v>3.90977443609022</v>
      </c>
      <c r="FE10">
        <v>95</v>
      </c>
      <c r="FF10" s="1">
        <v>2.9692156844279798</v>
      </c>
      <c r="FG10" s="1">
        <v>1.26294277929155</v>
      </c>
      <c r="FN10">
        <v>55</v>
      </c>
      <c r="FO10">
        <v>0</v>
      </c>
      <c r="FP10">
        <v>0</v>
      </c>
      <c r="FY10">
        <v>55</v>
      </c>
      <c r="FZ10">
        <v>0</v>
      </c>
      <c r="GA10">
        <v>0</v>
      </c>
    </row>
    <row r="11" spans="1:201" x14ac:dyDescent="0.3">
      <c r="A11">
        <v>51</v>
      </c>
      <c r="B11" t="s">
        <v>39</v>
      </c>
      <c r="C11">
        <v>6</v>
      </c>
      <c r="D11">
        <v>0</v>
      </c>
      <c r="E11">
        <v>-6</v>
      </c>
      <c r="F11">
        <v>0</v>
      </c>
      <c r="G11">
        <v>19.600000000000001</v>
      </c>
      <c r="H11">
        <v>42</v>
      </c>
      <c r="I11">
        <v>22.4</v>
      </c>
      <c r="J11">
        <v>0.90947</v>
      </c>
      <c r="K11" t="s">
        <v>245</v>
      </c>
      <c r="X11" s="60">
        <v>22</v>
      </c>
      <c r="Y11" s="61" t="s">
        <v>40</v>
      </c>
      <c r="Z11" s="61">
        <v>0</v>
      </c>
      <c r="AA11" s="61">
        <v>0</v>
      </c>
      <c r="AB11" s="61">
        <v>0</v>
      </c>
      <c r="AC11" s="61">
        <v>0</v>
      </c>
      <c r="AD11" s="61">
        <v>1.7</v>
      </c>
      <c r="AE11" s="61">
        <v>6.8</v>
      </c>
      <c r="AF11" s="61">
        <v>5.0999999999999996</v>
      </c>
      <c r="AG11" s="61">
        <v>0.5</v>
      </c>
      <c r="AH11" s="61" t="s">
        <v>245</v>
      </c>
      <c r="AI11" s="61">
        <f>IF(Table15[[#This Row],[Set]]="Zeta", -2, -20)</f>
        <v>-20</v>
      </c>
      <c r="AO11">
        <v>49</v>
      </c>
      <c r="AP11">
        <v>8</v>
      </c>
      <c r="AQ11">
        <v>47.569948496923899</v>
      </c>
      <c r="BA11">
        <v>6</v>
      </c>
      <c r="BB11">
        <v>8</v>
      </c>
      <c r="BC11">
        <v>0.75828648273090604</v>
      </c>
      <c r="BD11">
        <f t="shared" si="0"/>
        <v>-0.27669401918791126</v>
      </c>
      <c r="BM11">
        <v>55</v>
      </c>
      <c r="BN11">
        <v>8</v>
      </c>
      <c r="BO11">
        <v>0.71633662547885502</v>
      </c>
      <c r="BY11">
        <v>48</v>
      </c>
      <c r="BZ11">
        <v>11</v>
      </c>
      <c r="CA11">
        <v>0.50836634313100004</v>
      </c>
      <c r="CK11">
        <v>78</v>
      </c>
      <c r="CL11">
        <v>8</v>
      </c>
      <c r="CM11">
        <v>0.96976665571058895</v>
      </c>
      <c r="CW11">
        <v>6</v>
      </c>
      <c r="CX11" s="1">
        <v>5.4883738584803696</v>
      </c>
      <c r="CY11" s="1">
        <v>1.1346153846153799</v>
      </c>
      <c r="DI11">
        <v>98</v>
      </c>
      <c r="DJ11">
        <v>3.5578537245839601</v>
      </c>
      <c r="DK11">
        <v>1.2150943396226399</v>
      </c>
      <c r="DU11">
        <v>92</v>
      </c>
      <c r="DV11" s="1">
        <v>41.241286430664502</v>
      </c>
      <c r="DW11" s="1">
        <v>1.0169491525423699</v>
      </c>
      <c r="EG11">
        <v>3</v>
      </c>
      <c r="EH11" s="1">
        <v>0.54477708579998796</v>
      </c>
      <c r="EI11" s="1">
        <v>3.5692307692307601</v>
      </c>
      <c r="ES11">
        <v>3</v>
      </c>
      <c r="ET11" s="73">
        <v>0.54477708579998796</v>
      </c>
      <c r="EU11" s="73">
        <v>3.5692307692307601</v>
      </c>
      <c r="FE11">
        <v>63</v>
      </c>
      <c r="FF11" s="1">
        <v>3.1840236711562202</v>
      </c>
      <c r="FG11" s="1">
        <v>1.2432082794307799</v>
      </c>
      <c r="FN11">
        <v>56</v>
      </c>
      <c r="FO11">
        <v>0</v>
      </c>
      <c r="FP11">
        <v>0</v>
      </c>
      <c r="FY11">
        <v>56</v>
      </c>
      <c r="FZ11">
        <v>0</v>
      </c>
      <c r="GA11">
        <v>0</v>
      </c>
      <c r="GK11" t="s">
        <v>366</v>
      </c>
      <c r="GL11" t="s">
        <v>27</v>
      </c>
      <c r="GM11" t="s">
        <v>365</v>
      </c>
      <c r="GN11" t="s">
        <v>281</v>
      </c>
      <c r="GO11" t="s">
        <v>282</v>
      </c>
      <c r="GP11" t="s">
        <v>283</v>
      </c>
      <c r="GQ11" t="s">
        <v>284</v>
      </c>
      <c r="GR11" t="s">
        <v>285</v>
      </c>
      <c r="GS11" t="s">
        <v>286</v>
      </c>
    </row>
    <row r="12" spans="1:201" x14ac:dyDescent="0.3">
      <c r="A12">
        <v>56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15.5</v>
      </c>
      <c r="H12">
        <v>31</v>
      </c>
      <c r="I12">
        <v>15.5</v>
      </c>
      <c r="J12">
        <v>1</v>
      </c>
      <c r="K12" t="s">
        <v>245</v>
      </c>
      <c r="X12" s="60">
        <v>30</v>
      </c>
      <c r="Y12" s="61" t="s">
        <v>40</v>
      </c>
      <c r="Z12" s="61">
        <v>0</v>
      </c>
      <c r="AA12" s="61">
        <v>0</v>
      </c>
      <c r="AB12" s="61">
        <v>0</v>
      </c>
      <c r="AC12" s="61">
        <v>0</v>
      </c>
      <c r="AD12" s="61">
        <v>9.9</v>
      </c>
      <c r="AE12" s="61">
        <v>39.4</v>
      </c>
      <c r="AF12" s="61">
        <v>29.5</v>
      </c>
      <c r="AG12" s="61">
        <v>0.50183</v>
      </c>
      <c r="AH12" s="61" t="s">
        <v>245</v>
      </c>
      <c r="AI12" s="61">
        <f>IF(Table15[[#This Row],[Set]]="Zeta", -2, -20)</f>
        <v>-20</v>
      </c>
      <c r="AO12">
        <v>62</v>
      </c>
      <c r="AP12">
        <v>9</v>
      </c>
      <c r="AQ12">
        <v>48.347492179015802</v>
      </c>
      <c r="BA12">
        <v>44</v>
      </c>
      <c r="BB12">
        <v>9</v>
      </c>
      <c r="BC12">
        <v>0.76952015934451901</v>
      </c>
      <c r="BD12">
        <f t="shared" si="0"/>
        <v>-0.26198812806778199</v>
      </c>
      <c r="BM12">
        <v>45</v>
      </c>
      <c r="BN12">
        <v>9</v>
      </c>
      <c r="BO12">
        <v>0.71912266696320504</v>
      </c>
      <c r="BY12">
        <v>3</v>
      </c>
      <c r="BZ12">
        <v>12</v>
      </c>
      <c r="CA12">
        <v>0.54477708579998796</v>
      </c>
      <c r="CK12">
        <v>56</v>
      </c>
      <c r="CL12">
        <v>9</v>
      </c>
      <c r="CM12">
        <v>1</v>
      </c>
      <c r="CW12">
        <v>44</v>
      </c>
      <c r="CX12" s="1">
        <v>4.7048940953586698</v>
      </c>
      <c r="CY12" s="1">
        <v>1.15873015873015</v>
      </c>
      <c r="DI12">
        <v>86</v>
      </c>
      <c r="DJ12">
        <v>3.7371233016415499</v>
      </c>
      <c r="DK12">
        <v>1.2037914691943099</v>
      </c>
      <c r="DU12">
        <v>87</v>
      </c>
      <c r="DV12" s="1">
        <v>35.349373586093698</v>
      </c>
      <c r="DW12" s="1">
        <v>1.01980198019801</v>
      </c>
      <c r="EG12">
        <v>25</v>
      </c>
      <c r="EH12" s="1">
        <v>0.54839523675007995</v>
      </c>
      <c r="EI12" s="1">
        <v>3.5393939393939302</v>
      </c>
      <c r="ES12">
        <v>25</v>
      </c>
      <c r="ET12" s="73">
        <v>0.54839523675007995</v>
      </c>
      <c r="EU12" s="73">
        <v>3.5393939393939302</v>
      </c>
      <c r="FE12">
        <v>77</v>
      </c>
      <c r="FF12" s="1">
        <v>3.75465903074095</v>
      </c>
      <c r="FG12" s="1">
        <v>1.2027491408934701</v>
      </c>
      <c r="FN12">
        <v>65</v>
      </c>
      <c r="FO12">
        <v>0</v>
      </c>
      <c r="FP12">
        <v>0</v>
      </c>
      <c r="FY12">
        <v>65</v>
      </c>
      <c r="FZ12">
        <v>0</v>
      </c>
      <c r="GA12">
        <v>0</v>
      </c>
      <c r="GK12" s="13" t="s">
        <v>413</v>
      </c>
      <c r="GL12" s="13" t="s">
        <v>414</v>
      </c>
      <c r="GM12" s="13">
        <v>3.9159999999999999</v>
      </c>
      <c r="GN12" s="13">
        <v>1.095</v>
      </c>
      <c r="GO12" s="13">
        <v>1.341</v>
      </c>
      <c r="GP12" s="13">
        <v>7.1999999999999995E-2</v>
      </c>
      <c r="GQ12" s="13">
        <v>-1.78E-2</v>
      </c>
      <c r="GR12" s="13">
        <v>1.724</v>
      </c>
      <c r="GS12" s="13">
        <v>0.80121905000000004</v>
      </c>
    </row>
    <row r="13" spans="1:201" x14ac:dyDescent="0.3">
      <c r="A13">
        <v>69</v>
      </c>
      <c r="B13" t="s">
        <v>41</v>
      </c>
      <c r="C13">
        <v>21</v>
      </c>
      <c r="D13">
        <v>21</v>
      </c>
      <c r="E13">
        <v>0</v>
      </c>
      <c r="F13">
        <v>0</v>
      </c>
      <c r="G13">
        <v>53.7</v>
      </c>
      <c r="H13">
        <v>99.3</v>
      </c>
      <c r="I13">
        <v>45.6</v>
      </c>
      <c r="J13">
        <v>1.1275599999999999</v>
      </c>
      <c r="K13" t="s">
        <v>245</v>
      </c>
      <c r="X13" s="60">
        <v>48</v>
      </c>
      <c r="Y13" s="61" t="s">
        <v>40</v>
      </c>
      <c r="Z13" s="61">
        <v>0</v>
      </c>
      <c r="AA13" s="61">
        <v>0</v>
      </c>
      <c r="AB13" s="61">
        <v>0</v>
      </c>
      <c r="AC13" s="61">
        <v>0</v>
      </c>
      <c r="AD13" s="61">
        <v>26.6</v>
      </c>
      <c r="AE13" s="61">
        <v>104</v>
      </c>
      <c r="AF13" s="61">
        <v>77.400000000000006</v>
      </c>
      <c r="AG13" s="61">
        <v>0.50836999999999999</v>
      </c>
      <c r="AH13" s="61">
        <v>1.77336</v>
      </c>
      <c r="AI13" s="61">
        <f>IF(Table15[[#This Row],[Set]]="Zeta", -2, -20)</f>
        <v>-20</v>
      </c>
      <c r="AO13">
        <v>59</v>
      </c>
      <c r="AP13">
        <v>10</v>
      </c>
      <c r="AQ13">
        <v>52.376330532025598</v>
      </c>
      <c r="BA13">
        <v>8</v>
      </c>
      <c r="BB13">
        <v>10</v>
      </c>
      <c r="BC13">
        <v>0.81431202532370905</v>
      </c>
      <c r="BD13">
        <f t="shared" si="0"/>
        <v>-0.20541166293577762</v>
      </c>
      <c r="BM13">
        <v>54</v>
      </c>
      <c r="BN13">
        <v>10</v>
      </c>
      <c r="BO13">
        <v>0.72050450977147895</v>
      </c>
      <c r="BY13">
        <v>25</v>
      </c>
      <c r="BZ13">
        <v>13</v>
      </c>
      <c r="CA13">
        <v>0.54839523675007995</v>
      </c>
      <c r="CK13">
        <v>64</v>
      </c>
      <c r="CL13">
        <v>10</v>
      </c>
      <c r="CM13">
        <v>1.0266371224975599</v>
      </c>
      <c r="CW13">
        <v>8</v>
      </c>
      <c r="CX13" s="1">
        <v>3.0239042243240601</v>
      </c>
      <c r="CY13" s="1">
        <v>1.2576219512195099</v>
      </c>
      <c r="DI13">
        <v>78</v>
      </c>
      <c r="DJ13">
        <v>3.8452244952874901</v>
      </c>
      <c r="DK13">
        <v>1.19753086419753</v>
      </c>
      <c r="DU13">
        <v>91</v>
      </c>
      <c r="DV13" s="1">
        <v>16.841099171232599</v>
      </c>
      <c r="DW13" s="1">
        <v>1.04201680672268</v>
      </c>
      <c r="EG13">
        <v>9</v>
      </c>
      <c r="EH13" s="1">
        <v>0.56006862334195295</v>
      </c>
      <c r="EI13" s="1">
        <v>3.4473684210526301</v>
      </c>
      <c r="ES13">
        <v>9</v>
      </c>
      <c r="ET13" s="73">
        <v>0.56006862334195295</v>
      </c>
      <c r="EU13" s="73">
        <v>3.4473684210526301</v>
      </c>
      <c r="FE13">
        <v>2</v>
      </c>
      <c r="FF13" s="1">
        <v>7.4303579280153196</v>
      </c>
      <c r="FG13" s="1">
        <v>1.0977754785307801</v>
      </c>
      <c r="FN13">
        <v>89</v>
      </c>
      <c r="FO13">
        <v>0</v>
      </c>
      <c r="FP13">
        <v>1</v>
      </c>
      <c r="FY13">
        <v>89</v>
      </c>
      <c r="FZ13">
        <v>0</v>
      </c>
      <c r="GA13">
        <v>1</v>
      </c>
      <c r="GK13" t="s">
        <v>413</v>
      </c>
      <c r="GL13" t="s">
        <v>417</v>
      </c>
      <c r="GM13">
        <v>3.3490000000000002</v>
      </c>
      <c r="GN13">
        <v>0.152</v>
      </c>
      <c r="GO13">
        <v>1.468</v>
      </c>
      <c r="GP13">
        <v>1.7000000000000001E-2</v>
      </c>
      <c r="GQ13">
        <v>-4.8899999999999999E-2</v>
      </c>
      <c r="GR13">
        <v>0.54500000000000004</v>
      </c>
      <c r="GS13">
        <v>0.63405438999999997</v>
      </c>
    </row>
    <row r="14" spans="1:201" x14ac:dyDescent="0.3">
      <c r="A14">
        <v>59</v>
      </c>
      <c r="B14" t="s">
        <v>41</v>
      </c>
      <c r="C14">
        <v>37</v>
      </c>
      <c r="D14">
        <v>37</v>
      </c>
      <c r="E14">
        <v>0</v>
      </c>
      <c r="F14">
        <v>0</v>
      </c>
      <c r="G14">
        <v>42.4</v>
      </c>
      <c r="H14">
        <v>64.7</v>
      </c>
      <c r="I14">
        <v>22.3</v>
      </c>
      <c r="J14">
        <v>1.64015</v>
      </c>
      <c r="K14" t="s">
        <v>245</v>
      </c>
      <c r="X14" s="60">
        <v>3</v>
      </c>
      <c r="Y14" s="61" t="s">
        <v>40</v>
      </c>
      <c r="Z14" s="61">
        <v>0</v>
      </c>
      <c r="AA14" s="61">
        <v>0</v>
      </c>
      <c r="AB14" s="61">
        <v>0</v>
      </c>
      <c r="AC14" s="61">
        <v>0</v>
      </c>
      <c r="AD14" s="61">
        <v>6.5</v>
      </c>
      <c r="AE14" s="61">
        <v>23.2</v>
      </c>
      <c r="AF14" s="61">
        <v>16.7</v>
      </c>
      <c r="AG14" s="61">
        <v>0.54478000000000004</v>
      </c>
      <c r="AH14" s="61" t="s">
        <v>245</v>
      </c>
      <c r="AI14" s="61">
        <f>IF(Table15[[#This Row],[Set]]="Zeta", -2, -20)</f>
        <v>-20</v>
      </c>
      <c r="AO14">
        <v>70</v>
      </c>
      <c r="AP14">
        <v>11</v>
      </c>
      <c r="AQ14">
        <v>57.063561052566598</v>
      </c>
      <c r="BA14">
        <v>36</v>
      </c>
      <c r="BB14">
        <v>11</v>
      </c>
      <c r="BC14">
        <v>0.81574950265227697</v>
      </c>
      <c r="BD14">
        <f t="shared" si="0"/>
        <v>-0.20364795319044121</v>
      </c>
      <c r="BM14">
        <v>83</v>
      </c>
      <c r="BN14">
        <v>11</v>
      </c>
      <c r="BO14">
        <v>0.73145714683788798</v>
      </c>
      <c r="BY14">
        <v>9</v>
      </c>
      <c r="BZ14">
        <v>14</v>
      </c>
      <c r="CA14">
        <v>0.56006862334195295</v>
      </c>
      <c r="CK14">
        <v>69</v>
      </c>
      <c r="CL14">
        <v>11</v>
      </c>
      <c r="CM14">
        <v>1.1275589010726801</v>
      </c>
      <c r="CW14">
        <v>36</v>
      </c>
      <c r="CX14" s="1">
        <v>2.9902603714766598</v>
      </c>
      <c r="CY14" s="1">
        <v>1.26086956521739</v>
      </c>
      <c r="DI14">
        <v>100</v>
      </c>
      <c r="DJ14">
        <v>4.7148140832379299</v>
      </c>
      <c r="DK14">
        <v>1.15837104072398</v>
      </c>
      <c r="DU14">
        <v>64</v>
      </c>
      <c r="DV14" s="1">
        <v>11.260086185313799</v>
      </c>
      <c r="DW14" s="1">
        <v>1.0634920634920599</v>
      </c>
      <c r="EG14">
        <v>12</v>
      </c>
      <c r="EH14" s="1">
        <v>0.56529289898435398</v>
      </c>
      <c r="EI14" s="1">
        <v>3.4081632653061198</v>
      </c>
      <c r="ES14">
        <v>12</v>
      </c>
      <c r="ET14" s="73">
        <v>0.56529289898435398</v>
      </c>
      <c r="EU14" s="73">
        <v>3.4081632653061198</v>
      </c>
      <c r="FE14">
        <v>54</v>
      </c>
      <c r="FF14" s="1">
        <v>12.8393587195095</v>
      </c>
      <c r="FG14" s="1">
        <v>1.0554699537750301</v>
      </c>
      <c r="FN14">
        <v>94</v>
      </c>
      <c r="FO14">
        <v>3.6975154679172699</v>
      </c>
      <c r="FP14">
        <v>1.2061855670103001</v>
      </c>
      <c r="FY14">
        <v>94</v>
      </c>
      <c r="FZ14">
        <v>3.6975154679172699</v>
      </c>
      <c r="GA14">
        <v>0.829059829059829</v>
      </c>
      <c r="GK14" s="16" t="s">
        <v>413</v>
      </c>
      <c r="GL14" s="16" t="s">
        <v>419</v>
      </c>
      <c r="GM14" s="16">
        <v>3.347</v>
      </c>
      <c r="GN14" s="16">
        <v>0.36199999999999999</v>
      </c>
      <c r="GO14" s="16">
        <v>1.579</v>
      </c>
      <c r="GP14" s="16">
        <v>4.9000000000000002E-2</v>
      </c>
      <c r="GQ14" s="16">
        <v>-7.2300000000000003E-2</v>
      </c>
      <c r="GR14" s="16">
        <v>0.83699999999999997</v>
      </c>
      <c r="GS14" s="16">
        <v>0.55267776999999996</v>
      </c>
    </row>
    <row r="15" spans="1:201" x14ac:dyDescent="0.3">
      <c r="A15">
        <v>49</v>
      </c>
      <c r="B15" t="s">
        <v>41</v>
      </c>
      <c r="C15">
        <v>0</v>
      </c>
      <c r="D15">
        <v>2</v>
      </c>
      <c r="E15">
        <v>2</v>
      </c>
      <c r="F15">
        <v>0</v>
      </c>
      <c r="G15">
        <v>39.700000000000003</v>
      </c>
      <c r="H15">
        <v>57</v>
      </c>
      <c r="I15">
        <v>17.3</v>
      </c>
      <c r="J15">
        <v>1.9163600000000001</v>
      </c>
      <c r="K15" t="s">
        <v>245</v>
      </c>
      <c r="X15" s="60">
        <v>25</v>
      </c>
      <c r="Y15" s="61" t="s">
        <v>40</v>
      </c>
      <c r="Z15" s="61">
        <v>0</v>
      </c>
      <c r="AA15" s="61">
        <v>0</v>
      </c>
      <c r="AB15" s="61">
        <v>0</v>
      </c>
      <c r="AC15" s="61">
        <v>0</v>
      </c>
      <c r="AD15" s="61">
        <v>16.5</v>
      </c>
      <c r="AE15" s="61">
        <v>58.4</v>
      </c>
      <c r="AF15" s="61">
        <v>41.9</v>
      </c>
      <c r="AG15" s="61">
        <v>0.5484</v>
      </c>
      <c r="AH15" s="61" t="s">
        <v>245</v>
      </c>
      <c r="AI15" s="61">
        <f>IF(Table15[[#This Row],[Set]]="Zeta", -2, -20)</f>
        <v>-20</v>
      </c>
      <c r="AO15">
        <v>54</v>
      </c>
      <c r="AP15">
        <v>12</v>
      </c>
      <c r="AQ15">
        <v>66.675707720278396</v>
      </c>
      <c r="BA15">
        <v>20</v>
      </c>
      <c r="BB15">
        <v>12</v>
      </c>
      <c r="BC15">
        <v>0.87565106938102499</v>
      </c>
      <c r="BD15">
        <f t="shared" si="0"/>
        <v>-0.13278759002167523</v>
      </c>
      <c r="BM15">
        <v>75</v>
      </c>
      <c r="BN15">
        <v>12</v>
      </c>
      <c r="BO15">
        <v>0.73755823232001705</v>
      </c>
      <c r="BY15">
        <v>12</v>
      </c>
      <c r="BZ15">
        <v>15</v>
      </c>
      <c r="CA15">
        <v>0.56529289898435398</v>
      </c>
      <c r="CK15">
        <v>87</v>
      </c>
      <c r="CL15">
        <v>12</v>
      </c>
      <c r="CM15">
        <v>1.1859527754741701</v>
      </c>
      <c r="CW15">
        <v>20</v>
      </c>
      <c r="CX15" s="1">
        <v>2.05813092065369</v>
      </c>
      <c r="CY15" s="1">
        <v>1.4004376367614799</v>
      </c>
      <c r="DI15">
        <v>93</v>
      </c>
      <c r="DJ15">
        <v>4.7877717154122301</v>
      </c>
      <c r="DK15">
        <v>1.1557788944723599</v>
      </c>
      <c r="DU15">
        <v>97</v>
      </c>
      <c r="DV15" s="1">
        <v>4.9925448702448296</v>
      </c>
      <c r="DW15" s="1">
        <v>1.1489361702127601</v>
      </c>
      <c r="EG15">
        <v>42</v>
      </c>
      <c r="EH15" s="1">
        <v>0.58268028285003703</v>
      </c>
      <c r="EI15" s="1">
        <v>3.2857142857142798</v>
      </c>
      <c r="ES15">
        <v>42</v>
      </c>
      <c r="ET15" s="73">
        <v>0.58268028285003703</v>
      </c>
      <c r="EU15" s="73">
        <v>3.2857142857142798</v>
      </c>
      <c r="FE15">
        <v>55</v>
      </c>
      <c r="FF15" s="1">
        <v>15.116624378043699</v>
      </c>
      <c r="FG15" s="1">
        <v>1.0469208211143599</v>
      </c>
      <c r="FN15">
        <v>95</v>
      </c>
      <c r="FO15">
        <v>7.0798502464049404</v>
      </c>
      <c r="FP15">
        <v>1.1028571428571401</v>
      </c>
      <c r="FY15">
        <v>95</v>
      </c>
      <c r="FZ15">
        <v>7.0798502464049404</v>
      </c>
      <c r="GA15">
        <v>0.90673575129533601</v>
      </c>
      <c r="GK15" t="s">
        <v>413</v>
      </c>
      <c r="GL15" t="s">
        <v>420</v>
      </c>
      <c r="GM15">
        <v>3.1779999999999999</v>
      </c>
      <c r="GN15">
        <v>0.16600000000000001</v>
      </c>
      <c r="GO15">
        <v>1.5049999999999999</v>
      </c>
      <c r="GP15">
        <v>2.3E-2</v>
      </c>
      <c r="GQ15">
        <v>-7.4099999999999999E-2</v>
      </c>
      <c r="GR15">
        <v>0.51800000000000002</v>
      </c>
      <c r="GS15">
        <v>0.53942816000000005</v>
      </c>
    </row>
    <row r="16" spans="1:201" x14ac:dyDescent="0.3">
      <c r="A16">
        <v>65</v>
      </c>
      <c r="B16" t="s">
        <v>39</v>
      </c>
      <c r="C16">
        <v>1</v>
      </c>
      <c r="D16">
        <v>0</v>
      </c>
      <c r="E16">
        <v>-1</v>
      </c>
      <c r="F16">
        <v>0</v>
      </c>
      <c r="G16">
        <v>113.6</v>
      </c>
      <c r="H16">
        <v>162</v>
      </c>
      <c r="I16">
        <v>48.4</v>
      </c>
      <c r="J16">
        <v>1.9530099999999999</v>
      </c>
      <c r="K16" t="s">
        <v>245</v>
      </c>
      <c r="X16" s="60">
        <v>9</v>
      </c>
      <c r="Y16" s="61" t="s">
        <v>40</v>
      </c>
      <c r="Z16" s="61">
        <v>0</v>
      </c>
      <c r="AA16" s="61">
        <v>0</v>
      </c>
      <c r="AB16" s="61">
        <v>0</v>
      </c>
      <c r="AC16" s="61">
        <v>0</v>
      </c>
      <c r="AD16" s="61">
        <v>3.8</v>
      </c>
      <c r="AE16" s="61">
        <v>13.1</v>
      </c>
      <c r="AF16" s="61">
        <v>9.3000000000000007</v>
      </c>
      <c r="AG16" s="61">
        <v>0.56006999999999996</v>
      </c>
      <c r="AH16" s="61" t="s">
        <v>245</v>
      </c>
      <c r="AI16" s="61">
        <f>IF(Table15[[#This Row],[Set]]="Zeta", -2, -20)</f>
        <v>-20</v>
      </c>
      <c r="AO16">
        <v>84</v>
      </c>
      <c r="AP16">
        <v>13</v>
      </c>
      <c r="AQ16">
        <v>67.081741181934106</v>
      </c>
      <c r="BA16">
        <v>13</v>
      </c>
      <c r="BB16">
        <v>13</v>
      </c>
      <c r="BC16">
        <v>0.88114802328104402</v>
      </c>
      <c r="BD16">
        <f t="shared" si="0"/>
        <v>-0.12652964981417844</v>
      </c>
      <c r="BM16">
        <v>2</v>
      </c>
      <c r="BN16">
        <v>13</v>
      </c>
      <c r="BO16">
        <v>0.74087748734118197</v>
      </c>
      <c r="BY16">
        <v>42</v>
      </c>
      <c r="BZ16">
        <v>16</v>
      </c>
      <c r="CA16">
        <v>0.58268028285003703</v>
      </c>
      <c r="CK16">
        <v>97</v>
      </c>
      <c r="CL16">
        <v>13</v>
      </c>
      <c r="CM16">
        <v>1.5214245616098601</v>
      </c>
      <c r="CW16">
        <v>13</v>
      </c>
      <c r="CX16" s="1">
        <v>2.0022247538746898</v>
      </c>
      <c r="CY16" s="1">
        <v>1.4136690647482</v>
      </c>
      <c r="DI16">
        <v>82</v>
      </c>
      <c r="DJ16">
        <v>5.2423128931211203</v>
      </c>
      <c r="DK16">
        <v>1.1413612565444999</v>
      </c>
      <c r="DU16">
        <v>73</v>
      </c>
      <c r="DV16" s="1">
        <v>3.03667429271291</v>
      </c>
      <c r="DW16" s="1">
        <v>1.2564102564102499</v>
      </c>
      <c r="EG16">
        <v>23</v>
      </c>
      <c r="EH16" s="1">
        <v>0.59516115757053301</v>
      </c>
      <c r="EI16" s="1">
        <v>3.2047619047619</v>
      </c>
      <c r="ES16">
        <v>23</v>
      </c>
      <c r="ET16" s="73">
        <v>0.59516115757053301</v>
      </c>
      <c r="EU16" s="73">
        <v>3.2047619047619</v>
      </c>
      <c r="GK16" s="2" t="s">
        <v>413</v>
      </c>
      <c r="GL16" s="2" t="s">
        <v>412</v>
      </c>
      <c r="GM16" s="2">
        <v>2.95</v>
      </c>
      <c r="GN16" s="2">
        <v>0.26200000000000001</v>
      </c>
      <c r="GO16" s="2">
        <v>1.405</v>
      </c>
      <c r="GP16" s="2">
        <v>3.5999999999999997E-2</v>
      </c>
      <c r="GQ16" s="2">
        <v>-9.5100000000000004E-2</v>
      </c>
      <c r="GR16" s="2">
        <v>0.51</v>
      </c>
      <c r="GS16" s="2">
        <v>0.38339717000000001</v>
      </c>
    </row>
    <row r="17" spans="1:201" x14ac:dyDescent="0.3">
      <c r="A17">
        <v>68</v>
      </c>
      <c r="B17" t="s">
        <v>41</v>
      </c>
      <c r="C17">
        <v>0</v>
      </c>
      <c r="D17">
        <v>3</v>
      </c>
      <c r="E17">
        <v>3</v>
      </c>
      <c r="F17">
        <v>0</v>
      </c>
      <c r="G17">
        <v>171.5</v>
      </c>
      <c r="H17">
        <v>211.9</v>
      </c>
      <c r="I17">
        <v>40.4</v>
      </c>
      <c r="J17">
        <v>3.2768099999999998</v>
      </c>
      <c r="K17" t="s">
        <v>245</v>
      </c>
      <c r="X17" s="60">
        <v>12</v>
      </c>
      <c r="Y17" s="61" t="s">
        <v>40</v>
      </c>
      <c r="Z17" s="61">
        <v>0</v>
      </c>
      <c r="AA17" s="61">
        <v>0</v>
      </c>
      <c r="AB17" s="61">
        <v>0</v>
      </c>
      <c r="AC17" s="61">
        <v>0</v>
      </c>
      <c r="AD17" s="61">
        <v>4.9000000000000004</v>
      </c>
      <c r="AE17" s="61">
        <v>16.7</v>
      </c>
      <c r="AF17" s="61">
        <v>11.8</v>
      </c>
      <c r="AG17" s="61">
        <v>0.56528999999999996</v>
      </c>
      <c r="AH17" s="61" t="s">
        <v>245</v>
      </c>
      <c r="AI17" s="61">
        <f>IF(Table15[[#This Row],[Set]]="Zeta", -2, -20)</f>
        <v>-20</v>
      </c>
      <c r="AO17">
        <v>55</v>
      </c>
      <c r="AP17">
        <v>14</v>
      </c>
      <c r="AQ17">
        <v>69.781659481557099</v>
      </c>
      <c r="BA17">
        <v>41</v>
      </c>
      <c r="BB17">
        <v>14</v>
      </c>
      <c r="BC17">
        <v>0.89962367938894305</v>
      </c>
      <c r="BD17">
        <f t="shared" si="0"/>
        <v>-0.10577873711251386</v>
      </c>
      <c r="BM17">
        <v>67</v>
      </c>
      <c r="BN17">
        <v>14</v>
      </c>
      <c r="BO17">
        <v>0.74282511069064305</v>
      </c>
      <c r="BY17">
        <v>23</v>
      </c>
      <c r="BZ17">
        <v>17</v>
      </c>
      <c r="CA17">
        <v>0.59516115757053301</v>
      </c>
      <c r="CK17">
        <v>59</v>
      </c>
      <c r="CL17">
        <v>14</v>
      </c>
      <c r="CM17">
        <v>1.6401470001692</v>
      </c>
      <c r="CW17">
        <v>41</v>
      </c>
      <c r="CX17" s="1">
        <v>1.8360039553221701</v>
      </c>
      <c r="CY17" s="1">
        <v>1.45867768595041</v>
      </c>
      <c r="DI17">
        <v>85</v>
      </c>
      <c r="DJ17">
        <v>5.3028537083223801</v>
      </c>
      <c r="DK17">
        <v>1.13963963963963</v>
      </c>
      <c r="DU17">
        <v>72</v>
      </c>
      <c r="DV17" s="1">
        <v>1.9900484026476399</v>
      </c>
      <c r="DW17" s="1">
        <v>1.4166666666666601</v>
      </c>
      <c r="EG17">
        <v>31</v>
      </c>
      <c r="EH17" s="1">
        <v>0.69086586625928403</v>
      </c>
      <c r="EI17" s="1">
        <v>2.72727272727272</v>
      </c>
      <c r="ES17">
        <v>31</v>
      </c>
      <c r="ET17" s="73">
        <v>0.69086586625928403</v>
      </c>
      <c r="EU17" s="73">
        <v>2.72727272727272</v>
      </c>
      <c r="FE17" t="s">
        <v>140</v>
      </c>
      <c r="GK17" t="s">
        <v>413</v>
      </c>
      <c r="GL17" t="s">
        <v>415</v>
      </c>
      <c r="GM17">
        <v>2.58</v>
      </c>
      <c r="GN17">
        <v>6.8000000000000005E-2</v>
      </c>
      <c r="GO17">
        <v>1.7949999999999999</v>
      </c>
      <c r="GP17">
        <v>1.7999999999999999E-2</v>
      </c>
      <c r="GQ17">
        <v>-0.10349999999999999</v>
      </c>
      <c r="GR17">
        <v>0.34</v>
      </c>
      <c r="GS17">
        <v>0.67059389000000003</v>
      </c>
    </row>
    <row r="18" spans="1:201" x14ac:dyDescent="0.3">
      <c r="A18">
        <v>2</v>
      </c>
      <c r="B18" t="s">
        <v>39</v>
      </c>
      <c r="C18">
        <v>0</v>
      </c>
      <c r="D18">
        <v>0</v>
      </c>
      <c r="E18">
        <v>0</v>
      </c>
      <c r="F18">
        <v>0</v>
      </c>
      <c r="G18">
        <v>193.3</v>
      </c>
      <c r="H18">
        <v>212.2</v>
      </c>
      <c r="I18">
        <v>18.899999999999999</v>
      </c>
      <c r="J18">
        <v>7.4303600000000003</v>
      </c>
      <c r="K18">
        <v>0</v>
      </c>
      <c r="X18" s="60">
        <v>42</v>
      </c>
      <c r="Y18" s="61" t="s">
        <v>40</v>
      </c>
      <c r="Z18" s="61">
        <v>0</v>
      </c>
      <c r="AA18" s="61">
        <v>0</v>
      </c>
      <c r="AB18" s="61">
        <v>0</v>
      </c>
      <c r="AC18" s="61">
        <v>0</v>
      </c>
      <c r="AD18" s="61">
        <v>1.4</v>
      </c>
      <c r="AE18" s="61">
        <v>4.5999999999999996</v>
      </c>
      <c r="AF18" s="61">
        <v>3.2</v>
      </c>
      <c r="AG18" s="61">
        <v>0.58267999999999998</v>
      </c>
      <c r="AH18" s="61" t="s">
        <v>245</v>
      </c>
      <c r="AI18" s="61">
        <f>IF(Table15[[#This Row],[Set]]="Zeta", -2, -20)</f>
        <v>-20</v>
      </c>
      <c r="AO18">
        <v>69</v>
      </c>
      <c r="AP18">
        <v>15</v>
      </c>
      <c r="AQ18">
        <v>73.023352429205801</v>
      </c>
      <c r="BA18">
        <v>40</v>
      </c>
      <c r="BB18">
        <v>15</v>
      </c>
      <c r="BC18">
        <v>0.90694486945591701</v>
      </c>
      <c r="BD18">
        <f t="shared" si="0"/>
        <v>-9.7673614114698187E-2</v>
      </c>
      <c r="BM18">
        <v>27</v>
      </c>
      <c r="BN18">
        <v>15</v>
      </c>
      <c r="BO18">
        <v>0.74336693753897098</v>
      </c>
      <c r="BY18">
        <v>17</v>
      </c>
      <c r="BZ18">
        <v>18</v>
      </c>
      <c r="CA18">
        <v>0.60529877460913695</v>
      </c>
      <c r="CK18">
        <v>96</v>
      </c>
      <c r="CL18">
        <v>15</v>
      </c>
      <c r="CM18">
        <v>1.6475077626477199</v>
      </c>
      <c r="CW18">
        <v>40</v>
      </c>
      <c r="CX18" s="1">
        <v>1.7780308680017001</v>
      </c>
      <c r="CY18" s="1">
        <v>1.47674418604651</v>
      </c>
      <c r="DI18">
        <v>88</v>
      </c>
      <c r="DJ18">
        <v>5.42227097958021</v>
      </c>
      <c r="DK18">
        <v>1.13636363636363</v>
      </c>
      <c r="DU18">
        <v>61</v>
      </c>
      <c r="DV18" s="1">
        <v>1.88496184653024</v>
      </c>
      <c r="DW18" s="1">
        <v>1.44444444444444</v>
      </c>
      <c r="EG18">
        <v>15</v>
      </c>
      <c r="EH18" s="1">
        <v>0.70432789243838301</v>
      </c>
      <c r="EI18" s="1">
        <v>2.6754716981132001</v>
      </c>
      <c r="ES18">
        <v>15</v>
      </c>
      <c r="ET18" s="73">
        <v>0.70432789243838301</v>
      </c>
      <c r="EU18" s="73">
        <v>2.6754716981132001</v>
      </c>
      <c r="FE18" t="s">
        <v>336</v>
      </c>
      <c r="GK18" t="s">
        <v>413</v>
      </c>
      <c r="GL18" t="s">
        <v>418</v>
      </c>
      <c r="GM18">
        <v>2.391</v>
      </c>
      <c r="GN18">
        <v>6.7000000000000004E-2</v>
      </c>
      <c r="GO18">
        <v>1.859</v>
      </c>
      <c r="GP18">
        <v>2.1000000000000001E-2</v>
      </c>
      <c r="GQ18">
        <v>-0.1404</v>
      </c>
      <c r="GR18">
        <v>0.31</v>
      </c>
      <c r="GS18">
        <v>0.62700814000000005</v>
      </c>
    </row>
    <row r="19" spans="1:201" x14ac:dyDescent="0.3">
      <c r="A19">
        <v>54</v>
      </c>
      <c r="B19" t="s">
        <v>39</v>
      </c>
      <c r="C19">
        <v>2</v>
      </c>
      <c r="D19">
        <v>0</v>
      </c>
      <c r="E19">
        <v>-2</v>
      </c>
      <c r="F19">
        <v>0</v>
      </c>
      <c r="G19">
        <v>64.900000000000006</v>
      </c>
      <c r="H19">
        <v>68.5</v>
      </c>
      <c r="I19">
        <v>3.6</v>
      </c>
      <c r="J19">
        <v>12.839359999999999</v>
      </c>
      <c r="K19" t="s">
        <v>245</v>
      </c>
      <c r="X19" s="60">
        <v>23</v>
      </c>
      <c r="Y19" s="61" t="s">
        <v>40</v>
      </c>
      <c r="Z19" s="61">
        <v>0</v>
      </c>
      <c r="AA19" s="61">
        <v>0</v>
      </c>
      <c r="AB19" s="61">
        <v>0</v>
      </c>
      <c r="AC19" s="61">
        <v>0</v>
      </c>
      <c r="AD19" s="61">
        <v>21</v>
      </c>
      <c r="AE19" s="61">
        <v>67.3</v>
      </c>
      <c r="AF19" s="61">
        <v>46.3</v>
      </c>
      <c r="AG19" s="61">
        <v>0.59516000000000002</v>
      </c>
      <c r="AH19" s="61" t="s">
        <v>245</v>
      </c>
      <c r="AI19" s="61">
        <f>IF(Table15[[#This Row],[Set]]="Zeta", -2, -20)</f>
        <v>-20</v>
      </c>
      <c r="AO19">
        <v>64</v>
      </c>
      <c r="AP19">
        <v>16</v>
      </c>
      <c r="AQ19">
        <v>74.702811192082905</v>
      </c>
      <c r="BA19">
        <v>10</v>
      </c>
      <c r="BB19">
        <v>16</v>
      </c>
      <c r="BC19">
        <v>0.91815814604894996</v>
      </c>
      <c r="BD19">
        <f t="shared" si="0"/>
        <v>-8.5385630814352728E-2</v>
      </c>
      <c r="BM19">
        <v>6</v>
      </c>
      <c r="BN19">
        <v>16</v>
      </c>
      <c r="BO19">
        <v>0.75828648273090604</v>
      </c>
      <c r="BY19">
        <v>31</v>
      </c>
      <c r="BZ19">
        <v>19</v>
      </c>
      <c r="CA19">
        <v>0.69086586625928403</v>
      </c>
      <c r="CK19">
        <v>81</v>
      </c>
      <c r="CL19">
        <v>16</v>
      </c>
      <c r="CM19">
        <v>1.6703211594615599</v>
      </c>
      <c r="CW19">
        <v>10</v>
      </c>
      <c r="CX19" s="1">
        <v>1.6964970459034301</v>
      </c>
      <c r="CY19" s="1">
        <v>1.50467289719626</v>
      </c>
      <c r="DI19">
        <v>83</v>
      </c>
      <c r="DJ19">
        <v>5.7114558818216903</v>
      </c>
      <c r="DK19">
        <v>1.12903225806451</v>
      </c>
      <c r="DU19">
        <v>75</v>
      </c>
      <c r="DV19" s="1">
        <v>1.77974296962276</v>
      </c>
      <c r="DW19" s="1">
        <v>1.4761904761904701</v>
      </c>
      <c r="EG19">
        <v>60</v>
      </c>
      <c r="EH19" s="1">
        <v>0.74188197315272697</v>
      </c>
      <c r="EI19" s="1">
        <v>2.5454545454545401</v>
      </c>
      <c r="ES19">
        <v>60</v>
      </c>
      <c r="ET19" s="73">
        <v>0.74188197315272697</v>
      </c>
      <c r="EU19" s="73">
        <v>2.5454545454545401</v>
      </c>
      <c r="FE19" t="s">
        <v>337</v>
      </c>
      <c r="GK19" s="4" t="s">
        <v>413</v>
      </c>
      <c r="GL19" s="4" t="s">
        <v>416</v>
      </c>
      <c r="GM19" s="4">
        <v>1.6910000000000001</v>
      </c>
      <c r="GN19" s="4">
        <v>0.10199999999999999</v>
      </c>
      <c r="GO19" s="4">
        <v>2.1739999999999999</v>
      </c>
      <c r="GP19" s="4">
        <v>4.9000000000000002E-2</v>
      </c>
      <c r="GQ19" s="4">
        <v>-0.1963</v>
      </c>
      <c r="GR19" s="4">
        <v>0.34100000000000003</v>
      </c>
      <c r="GS19" s="4">
        <v>0.66116372000000001</v>
      </c>
    </row>
    <row r="20" spans="1:201" x14ac:dyDescent="0.3">
      <c r="A20">
        <v>55</v>
      </c>
      <c r="B20" t="s">
        <v>39</v>
      </c>
      <c r="C20">
        <v>0</v>
      </c>
      <c r="D20">
        <v>0</v>
      </c>
      <c r="E20">
        <v>0</v>
      </c>
      <c r="F20">
        <v>0</v>
      </c>
      <c r="G20">
        <v>68.2</v>
      </c>
      <c r="H20">
        <v>71.400000000000006</v>
      </c>
      <c r="I20">
        <v>3.2</v>
      </c>
      <c r="J20">
        <v>15.116619999999999</v>
      </c>
      <c r="K20" t="s">
        <v>245</v>
      </c>
      <c r="X20" s="60">
        <v>17</v>
      </c>
      <c r="Y20" s="61" t="s">
        <v>41</v>
      </c>
      <c r="Z20" s="61">
        <v>0</v>
      </c>
      <c r="AA20" s="61">
        <v>1</v>
      </c>
      <c r="AB20" s="61">
        <v>1</v>
      </c>
      <c r="AC20" s="61">
        <v>0</v>
      </c>
      <c r="AD20" s="61">
        <v>6.3</v>
      </c>
      <c r="AE20" s="61">
        <v>19.8</v>
      </c>
      <c r="AF20" s="61">
        <v>13.5</v>
      </c>
      <c r="AG20" s="61">
        <v>0.60529999999999995</v>
      </c>
      <c r="AH20" s="61" t="s">
        <v>245</v>
      </c>
      <c r="AI20" s="61">
        <f>IF(Table15[[#This Row],[Set]]="Zeta", -2, -20)</f>
        <v>-20</v>
      </c>
      <c r="AO20">
        <v>76</v>
      </c>
      <c r="AP20">
        <v>17</v>
      </c>
      <c r="AQ20">
        <v>77.404651023048999</v>
      </c>
      <c r="BA20">
        <v>21</v>
      </c>
      <c r="BB20">
        <v>17</v>
      </c>
      <c r="BC20">
        <v>0.92953595862417504</v>
      </c>
      <c r="BD20">
        <f t="shared" si="0"/>
        <v>-7.3069786582719509E-2</v>
      </c>
      <c r="BM20">
        <v>62</v>
      </c>
      <c r="BN20">
        <v>17</v>
      </c>
      <c r="BO20">
        <v>0.76037248640773203</v>
      </c>
      <c r="BY20">
        <v>15</v>
      </c>
      <c r="BZ20">
        <v>20</v>
      </c>
      <c r="CA20">
        <v>0.70432789243838301</v>
      </c>
      <c r="CK20">
        <v>82</v>
      </c>
      <c r="CL20">
        <v>17</v>
      </c>
      <c r="CM20">
        <v>1.77096800717088</v>
      </c>
      <c r="CW20">
        <v>21</v>
      </c>
      <c r="CX20" s="1">
        <v>1.6216092786808101</v>
      </c>
      <c r="CY20" s="1">
        <v>1.5333333333333301</v>
      </c>
      <c r="DI20">
        <v>90</v>
      </c>
      <c r="DJ20">
        <v>22.756573062773501</v>
      </c>
      <c r="DK20">
        <v>1.0309278350515401</v>
      </c>
      <c r="DU20">
        <v>57</v>
      </c>
      <c r="DV20" s="1">
        <v>1.7095112913514501</v>
      </c>
      <c r="DW20" s="1">
        <v>1.5</v>
      </c>
      <c r="EG20">
        <v>14</v>
      </c>
      <c r="EH20" s="1">
        <v>0.75794924810075204</v>
      </c>
      <c r="EI20" s="1">
        <v>2.49553571428571</v>
      </c>
      <c r="ES20">
        <v>14</v>
      </c>
      <c r="ET20" s="73">
        <v>0.75794924810075204</v>
      </c>
      <c r="EU20" s="73">
        <v>2.49553571428571</v>
      </c>
      <c r="FE20" t="s">
        <v>338</v>
      </c>
    </row>
    <row r="21" spans="1:201" x14ac:dyDescent="0.3">
      <c r="A21">
        <v>74</v>
      </c>
      <c r="B21" t="s">
        <v>41</v>
      </c>
      <c r="C21">
        <v>2</v>
      </c>
      <c r="D21">
        <v>7</v>
      </c>
      <c r="E21">
        <v>5</v>
      </c>
      <c r="F21">
        <v>0.55328999999999995</v>
      </c>
      <c r="G21">
        <v>141.1</v>
      </c>
      <c r="H21">
        <v>191</v>
      </c>
      <c r="I21">
        <v>49.9</v>
      </c>
      <c r="J21">
        <v>2.2890899999999998</v>
      </c>
      <c r="K21" t="s">
        <v>245</v>
      </c>
      <c r="X21" s="60">
        <v>31</v>
      </c>
      <c r="Y21" s="61" t="s">
        <v>40</v>
      </c>
      <c r="Z21" s="61">
        <v>0</v>
      </c>
      <c r="AA21" s="61">
        <v>0</v>
      </c>
      <c r="AB21" s="61">
        <v>0</v>
      </c>
      <c r="AC21" s="61">
        <v>0</v>
      </c>
      <c r="AD21" s="61">
        <v>3.3</v>
      </c>
      <c r="AE21" s="61">
        <v>9</v>
      </c>
      <c r="AF21" s="61">
        <v>5.7</v>
      </c>
      <c r="AG21" s="61">
        <v>0.69086999999999998</v>
      </c>
      <c r="AH21" s="61" t="s">
        <v>245</v>
      </c>
      <c r="AI21" s="61">
        <f>IF(Table15[[#This Row],[Set]]="Zeta", -2, -20)</f>
        <v>-20</v>
      </c>
      <c r="AO21">
        <v>95</v>
      </c>
      <c r="AP21">
        <v>18</v>
      </c>
      <c r="AQ21">
        <v>82.4874535914402</v>
      </c>
      <c r="BA21">
        <v>29</v>
      </c>
      <c r="BB21">
        <v>18</v>
      </c>
      <c r="BC21">
        <v>0.93568599163189303</v>
      </c>
      <c r="BD21">
        <f t="shared" si="0"/>
        <v>-6.6475337815977462E-2</v>
      </c>
      <c r="BM21">
        <v>80</v>
      </c>
      <c r="BN21">
        <v>18</v>
      </c>
      <c r="BO21">
        <v>0.76487136135838996</v>
      </c>
      <c r="BY21">
        <v>60</v>
      </c>
      <c r="BZ21">
        <v>21</v>
      </c>
      <c r="CA21">
        <v>0.74188197315272697</v>
      </c>
      <c r="CK21">
        <v>85</v>
      </c>
      <c r="CL21">
        <v>18</v>
      </c>
      <c r="CM21">
        <v>1.82693860112379</v>
      </c>
      <c r="CW21">
        <v>29</v>
      </c>
      <c r="CX21" s="1">
        <v>1.5840298982876999</v>
      </c>
      <c r="CY21" s="1">
        <v>1.54896142433234</v>
      </c>
      <c r="DI21" t="s">
        <v>140</v>
      </c>
      <c r="DU21">
        <v>71</v>
      </c>
      <c r="DV21" s="1">
        <v>1.3569154488567201</v>
      </c>
      <c r="DW21" s="1">
        <v>1.6666666666666601</v>
      </c>
      <c r="EG21">
        <v>43</v>
      </c>
      <c r="EH21" s="1">
        <v>0.88666460315957996</v>
      </c>
      <c r="EI21" s="1">
        <v>2.18528610354223</v>
      </c>
      <c r="ES21">
        <v>43</v>
      </c>
      <c r="ET21" s="73">
        <v>0.88666460315957996</v>
      </c>
      <c r="EU21" s="73">
        <v>2.18528610354223</v>
      </c>
      <c r="FE21" t="s">
        <v>339</v>
      </c>
      <c r="FY21" t="s">
        <v>366</v>
      </c>
      <c r="FZ21" t="s">
        <v>27</v>
      </c>
      <c r="GA21" t="s">
        <v>365</v>
      </c>
      <c r="GB21" t="s">
        <v>281</v>
      </c>
      <c r="GC21" t="s">
        <v>282</v>
      </c>
      <c r="GD21" t="s">
        <v>283</v>
      </c>
      <c r="GE21" t="s">
        <v>284</v>
      </c>
      <c r="GF21" t="s">
        <v>285</v>
      </c>
      <c r="GG21" t="s">
        <v>286</v>
      </c>
      <c r="GK21" t="s">
        <v>366</v>
      </c>
      <c r="GL21" t="s">
        <v>27</v>
      </c>
      <c r="GM21" t="s">
        <v>365</v>
      </c>
      <c r="GN21" t="s">
        <v>281</v>
      </c>
      <c r="GO21" t="s">
        <v>282</v>
      </c>
      <c r="GP21" t="s">
        <v>283</v>
      </c>
      <c r="GQ21" t="s">
        <v>284</v>
      </c>
      <c r="GR21" t="s">
        <v>285</v>
      </c>
      <c r="GS21" t="s">
        <v>286</v>
      </c>
    </row>
    <row r="22" spans="1:201" x14ac:dyDescent="0.3">
      <c r="A22">
        <v>84</v>
      </c>
      <c r="B22" t="s">
        <v>42</v>
      </c>
      <c r="C22">
        <v>17</v>
      </c>
      <c r="D22">
        <v>35</v>
      </c>
      <c r="E22">
        <v>18</v>
      </c>
      <c r="F22">
        <v>0.95986000000000005</v>
      </c>
      <c r="G22">
        <v>58.9</v>
      </c>
      <c r="H22">
        <v>76.400000000000006</v>
      </c>
      <c r="I22">
        <v>17.5</v>
      </c>
      <c r="J22">
        <v>2.6644999999999999</v>
      </c>
      <c r="K22" t="s">
        <v>245</v>
      </c>
      <c r="X22" s="60">
        <v>15</v>
      </c>
      <c r="Y22" s="61" t="s">
        <v>40</v>
      </c>
      <c r="Z22" s="61">
        <v>0</v>
      </c>
      <c r="AA22" s="61">
        <v>0</v>
      </c>
      <c r="AB22" s="61">
        <v>0</v>
      </c>
      <c r="AC22" s="61">
        <v>0</v>
      </c>
      <c r="AD22" s="61">
        <v>26.5</v>
      </c>
      <c r="AE22" s="61">
        <v>70.900000000000006</v>
      </c>
      <c r="AF22" s="61">
        <v>44.4</v>
      </c>
      <c r="AG22" s="61">
        <v>0.70433000000000001</v>
      </c>
      <c r="AH22" s="61" t="s">
        <v>245</v>
      </c>
      <c r="AI22" s="61">
        <f>IF(Table15[[#This Row],[Set]]="Zeta", -2, -20)</f>
        <v>-20</v>
      </c>
      <c r="AO22">
        <v>80</v>
      </c>
      <c r="AP22">
        <v>19</v>
      </c>
      <c r="AQ22">
        <v>83.599043056724</v>
      </c>
      <c r="BA22">
        <v>5</v>
      </c>
      <c r="BB22">
        <v>19</v>
      </c>
      <c r="BC22">
        <v>0.95155887071161305</v>
      </c>
      <c r="BD22">
        <f t="shared" si="0"/>
        <v>-4.9653722681582704E-2</v>
      </c>
      <c r="BM22">
        <v>44</v>
      </c>
      <c r="BN22">
        <v>19</v>
      </c>
      <c r="BO22">
        <v>0.76952015934451901</v>
      </c>
      <c r="BY22">
        <v>14</v>
      </c>
      <c r="BZ22">
        <v>22</v>
      </c>
      <c r="CA22">
        <v>0.75794924810075204</v>
      </c>
      <c r="CK22">
        <v>99</v>
      </c>
      <c r="CL22">
        <v>19</v>
      </c>
      <c r="CM22">
        <v>1.8904726185289</v>
      </c>
      <c r="CW22">
        <v>5</v>
      </c>
      <c r="CX22" s="1">
        <v>1.4952285205156799</v>
      </c>
      <c r="CY22" s="1">
        <v>1.5897435897435801</v>
      </c>
      <c r="DI22" t="s">
        <v>345</v>
      </c>
      <c r="DU22">
        <v>70</v>
      </c>
      <c r="DV22" s="1">
        <v>1.17924958483937</v>
      </c>
      <c r="DW22" s="1">
        <v>1.8</v>
      </c>
      <c r="EG22">
        <v>35</v>
      </c>
      <c r="EH22" s="1">
        <v>0.96594946309006002</v>
      </c>
      <c r="EI22" s="1">
        <v>2.04946996466431</v>
      </c>
      <c r="ES22">
        <v>35</v>
      </c>
      <c r="ET22" s="73">
        <v>0.96594946309006002</v>
      </c>
      <c r="EU22" s="73">
        <v>2.04946996466431</v>
      </c>
      <c r="FE22" t="s">
        <v>340</v>
      </c>
      <c r="FY22" t="s">
        <v>367</v>
      </c>
      <c r="FZ22" t="s">
        <v>40</v>
      </c>
      <c r="GA22">
        <v>0</v>
      </c>
      <c r="GB22">
        <v>0</v>
      </c>
      <c r="GC22">
        <v>0</v>
      </c>
      <c r="GD22">
        <v>0</v>
      </c>
      <c r="GE22" t="s">
        <v>245</v>
      </c>
      <c r="GF22">
        <v>0</v>
      </c>
      <c r="GG22">
        <v>1</v>
      </c>
      <c r="GK22" t="s">
        <v>421</v>
      </c>
      <c r="GL22" t="s">
        <v>425</v>
      </c>
      <c r="GM22">
        <v>4.4420000000000002</v>
      </c>
      <c r="GN22">
        <v>2.7330000000000001</v>
      </c>
      <c r="GO22">
        <v>2.1890000000000001</v>
      </c>
      <c r="GP22">
        <v>0.52200000000000002</v>
      </c>
      <c r="GQ22">
        <v>-6.5100000000000005E-2</v>
      </c>
      <c r="GR22">
        <v>3.2690000000000001</v>
      </c>
      <c r="GS22">
        <v>0.76433205999999998</v>
      </c>
    </row>
    <row r="23" spans="1:201" x14ac:dyDescent="0.3">
      <c r="A23">
        <v>67</v>
      </c>
      <c r="B23" t="s">
        <v>41</v>
      </c>
      <c r="C23">
        <v>4</v>
      </c>
      <c r="D23">
        <v>8</v>
      </c>
      <c r="E23">
        <v>4</v>
      </c>
      <c r="F23">
        <v>1</v>
      </c>
      <c r="G23">
        <v>139.4</v>
      </c>
      <c r="H23">
        <v>153.6</v>
      </c>
      <c r="I23">
        <v>14.2</v>
      </c>
      <c r="J23">
        <v>7.1455299999999999</v>
      </c>
      <c r="K23" t="s">
        <v>245</v>
      </c>
      <c r="X23" s="60">
        <v>60</v>
      </c>
      <c r="Y23" s="61" t="s">
        <v>40</v>
      </c>
      <c r="Z23" s="61">
        <v>0</v>
      </c>
      <c r="AA23" s="61">
        <v>0</v>
      </c>
      <c r="AB23" s="61">
        <v>0</v>
      </c>
      <c r="AC23" s="61">
        <v>0</v>
      </c>
      <c r="AD23" s="61">
        <v>4.4000000000000004</v>
      </c>
      <c r="AE23" s="61">
        <v>11.2</v>
      </c>
      <c r="AF23" s="61">
        <v>6.8</v>
      </c>
      <c r="AG23" s="61">
        <v>0.74187999999999998</v>
      </c>
      <c r="AH23" s="61" t="s">
        <v>245</v>
      </c>
      <c r="AI23" s="61">
        <f>IF(Table15[[#This Row],[Set]]="Zeta", -2, -20)</f>
        <v>-20</v>
      </c>
      <c r="AO23">
        <v>63</v>
      </c>
      <c r="AP23">
        <v>20</v>
      </c>
      <c r="AQ23">
        <v>86.188920401638597</v>
      </c>
      <c r="BA23">
        <v>47</v>
      </c>
      <c r="BB23">
        <v>20</v>
      </c>
      <c r="BC23">
        <v>0.95189525553902399</v>
      </c>
      <c r="BD23">
        <f t="shared" si="0"/>
        <v>-4.930027593834499E-2</v>
      </c>
      <c r="BM23">
        <v>91</v>
      </c>
      <c r="BN23">
        <v>20</v>
      </c>
      <c r="BO23">
        <v>0.77247699532592795</v>
      </c>
      <c r="BY23">
        <v>53</v>
      </c>
      <c r="BZ23">
        <v>23</v>
      </c>
      <c r="CA23">
        <v>0.76169036693752001</v>
      </c>
      <c r="CK23">
        <v>49</v>
      </c>
      <c r="CL23">
        <v>20</v>
      </c>
      <c r="CM23">
        <v>1.91635893552736</v>
      </c>
      <c r="CW23">
        <v>47</v>
      </c>
      <c r="CX23" s="1">
        <v>1.4934633087510301</v>
      </c>
      <c r="CY23" s="1">
        <v>1.5906148867313901</v>
      </c>
      <c r="DI23" t="s">
        <v>346</v>
      </c>
      <c r="DU23">
        <v>67</v>
      </c>
      <c r="DV23" s="1">
        <v>1</v>
      </c>
      <c r="DW23" s="1">
        <v>2</v>
      </c>
      <c r="EG23">
        <v>11</v>
      </c>
      <c r="EH23" s="1">
        <v>0.96818108314798801</v>
      </c>
      <c r="EI23" s="1">
        <v>2.04608294930875</v>
      </c>
      <c r="ES23">
        <v>11</v>
      </c>
      <c r="ET23" s="73">
        <v>0.96818108314798801</v>
      </c>
      <c r="EU23" s="73">
        <v>2.04608294930875</v>
      </c>
      <c r="FE23" t="s">
        <v>341</v>
      </c>
      <c r="FY23" t="s">
        <v>367</v>
      </c>
      <c r="FZ23" t="s">
        <v>44</v>
      </c>
      <c r="GA23">
        <v>4.2809999999999997</v>
      </c>
      <c r="GB23">
        <v>0.47899999999999998</v>
      </c>
      <c r="GC23">
        <v>0.628</v>
      </c>
      <c r="GD23">
        <v>1.4999999999999999E-2</v>
      </c>
      <c r="GE23">
        <v>7.7999999999999996E-3</v>
      </c>
      <c r="GF23">
        <v>1.7190000000000001</v>
      </c>
      <c r="GG23">
        <v>0.80670085999999996</v>
      </c>
      <c r="GK23" t="s">
        <v>421</v>
      </c>
      <c r="GL23" t="s">
        <v>424</v>
      </c>
      <c r="GM23">
        <v>4.1449999999999996</v>
      </c>
      <c r="GN23">
        <v>2.2120000000000002</v>
      </c>
      <c r="GO23">
        <v>2.11</v>
      </c>
      <c r="GP23">
        <v>0.42499999999999999</v>
      </c>
      <c r="GQ23">
        <v>-6.1100000000000002E-2</v>
      </c>
      <c r="GR23">
        <v>2.8769999999999998</v>
      </c>
      <c r="GS23">
        <v>0.77587605000000004</v>
      </c>
    </row>
    <row r="24" spans="1:201" x14ac:dyDescent="0.3">
      <c r="A24">
        <v>79</v>
      </c>
      <c r="B24" t="s">
        <v>42</v>
      </c>
      <c r="C24">
        <v>53</v>
      </c>
      <c r="D24">
        <v>103</v>
      </c>
      <c r="E24">
        <v>50</v>
      </c>
      <c r="F24">
        <v>1.04321</v>
      </c>
      <c r="G24">
        <v>130.5</v>
      </c>
      <c r="H24">
        <v>179</v>
      </c>
      <c r="I24">
        <v>48.5</v>
      </c>
      <c r="J24">
        <v>2.1934200000000001</v>
      </c>
      <c r="K24" t="s">
        <v>245</v>
      </c>
      <c r="X24" s="60">
        <v>14</v>
      </c>
      <c r="Y24" s="61" t="s">
        <v>40</v>
      </c>
      <c r="Z24" s="61">
        <v>0</v>
      </c>
      <c r="AA24" s="61">
        <v>0</v>
      </c>
      <c r="AB24" s="61">
        <v>0</v>
      </c>
      <c r="AC24" s="61">
        <v>0</v>
      </c>
      <c r="AD24" s="61">
        <v>22.4</v>
      </c>
      <c r="AE24" s="61">
        <v>55.9</v>
      </c>
      <c r="AF24" s="61">
        <v>33.5</v>
      </c>
      <c r="AG24" s="61">
        <v>0.75795000000000001</v>
      </c>
      <c r="AH24" s="61" t="s">
        <v>245</v>
      </c>
      <c r="AI24" s="61">
        <f>IF(Table15[[#This Row],[Set]]="Zeta", -2, -20)</f>
        <v>-20</v>
      </c>
      <c r="AO24">
        <v>99</v>
      </c>
      <c r="AP24">
        <v>21</v>
      </c>
      <c r="AQ24">
        <v>86.246623122299695</v>
      </c>
      <c r="BA24">
        <v>46</v>
      </c>
      <c r="BB24">
        <v>21</v>
      </c>
      <c r="BC24">
        <v>0.97077891715822395</v>
      </c>
      <c r="BD24">
        <f t="shared" si="0"/>
        <v>-2.9656522343027326E-2</v>
      </c>
      <c r="BM24">
        <v>86</v>
      </c>
      <c r="BN24">
        <v>21</v>
      </c>
      <c r="BO24">
        <v>0.77566955832117002</v>
      </c>
      <c r="BY24">
        <v>50</v>
      </c>
      <c r="BZ24">
        <v>24</v>
      </c>
      <c r="CA24">
        <v>0.82875191198585496</v>
      </c>
      <c r="CK24">
        <v>65</v>
      </c>
      <c r="CL24">
        <v>21</v>
      </c>
      <c r="CM24">
        <v>1.9530068344379501</v>
      </c>
      <c r="CW24">
        <v>46</v>
      </c>
      <c r="CX24" s="1">
        <v>1.4011571585570699</v>
      </c>
      <c r="CY24" s="1">
        <v>1.64</v>
      </c>
      <c r="DI24" t="s">
        <v>347</v>
      </c>
      <c r="DU24">
        <v>74</v>
      </c>
      <c r="DV24" s="1">
        <v>0.55329475566511199</v>
      </c>
      <c r="DW24" s="1">
        <v>3.5</v>
      </c>
      <c r="EG24">
        <v>1</v>
      </c>
      <c r="EH24" s="1">
        <v>0.98480442772704402</v>
      </c>
      <c r="EI24" s="1">
        <v>2.0215053763440798</v>
      </c>
      <c r="ES24" s="72">
        <v>1</v>
      </c>
      <c r="ET24" s="74">
        <v>0.98480442772704402</v>
      </c>
      <c r="EU24" s="74">
        <v>2.0215053763440798</v>
      </c>
      <c r="FE24" t="s">
        <v>342</v>
      </c>
      <c r="FY24" s="71" t="s">
        <v>367</v>
      </c>
      <c r="FZ24" s="71" t="s">
        <v>39</v>
      </c>
      <c r="GA24" s="13">
        <v>-2.8140000000000001</v>
      </c>
      <c r="GB24" s="71">
        <v>2.0619999999999998</v>
      </c>
      <c r="GC24" s="13">
        <v>0.52800000000000002</v>
      </c>
      <c r="GD24" s="71">
        <v>0.11</v>
      </c>
      <c r="GE24" s="71">
        <v>-1.5299999999999999E-2</v>
      </c>
      <c r="GF24" s="71">
        <v>3.2450000000000001</v>
      </c>
      <c r="GG24" s="71">
        <v>0.78978638999999995</v>
      </c>
      <c r="GK24" t="s">
        <v>421</v>
      </c>
      <c r="GL24" t="s">
        <v>423</v>
      </c>
      <c r="GM24">
        <v>3.948</v>
      </c>
      <c r="GN24">
        <v>2.2349999999999999</v>
      </c>
      <c r="GO24">
        <v>2.0569999999999999</v>
      </c>
      <c r="GP24">
        <v>0.434</v>
      </c>
      <c r="GQ24">
        <v>-5.4300000000000001E-2</v>
      </c>
      <c r="GR24">
        <v>2.9079999999999999</v>
      </c>
      <c r="GS24">
        <v>0.80451432</v>
      </c>
    </row>
    <row r="25" spans="1:201" x14ac:dyDescent="0.3">
      <c r="A25">
        <v>70</v>
      </c>
      <c r="B25" t="s">
        <v>41</v>
      </c>
      <c r="C25">
        <v>10</v>
      </c>
      <c r="D25">
        <v>18</v>
      </c>
      <c r="E25">
        <v>8</v>
      </c>
      <c r="F25">
        <v>1.1792499999999999</v>
      </c>
      <c r="G25">
        <v>52.1</v>
      </c>
      <c r="H25">
        <v>62.5</v>
      </c>
      <c r="I25">
        <v>10.4</v>
      </c>
      <c r="J25">
        <v>3.8084699999999998</v>
      </c>
      <c r="K25" t="s">
        <v>245</v>
      </c>
      <c r="X25" s="60">
        <v>53</v>
      </c>
      <c r="Y25" s="61" t="s">
        <v>41</v>
      </c>
      <c r="Z25" s="61">
        <v>0</v>
      </c>
      <c r="AA25" s="61">
        <v>1</v>
      </c>
      <c r="AB25" s="61">
        <v>1</v>
      </c>
      <c r="AC25" s="61">
        <v>0</v>
      </c>
      <c r="AD25" s="61">
        <v>67.099999999999994</v>
      </c>
      <c r="AE25" s="61">
        <v>166.7</v>
      </c>
      <c r="AF25" s="61">
        <v>99.6</v>
      </c>
      <c r="AG25" s="61">
        <v>0.76168999999999998</v>
      </c>
      <c r="AH25" s="61">
        <v>0.38102999999999998</v>
      </c>
      <c r="AI25" s="61">
        <f>IF(Table15[[#This Row],[Set]]="Zeta", -2, -20)</f>
        <v>-20</v>
      </c>
      <c r="AO25">
        <v>73</v>
      </c>
      <c r="AP25">
        <v>22</v>
      </c>
      <c r="AQ25">
        <v>90.213136515698196</v>
      </c>
      <c r="BA25">
        <v>7</v>
      </c>
      <c r="BB25">
        <v>22</v>
      </c>
      <c r="BC25">
        <v>0.97876099994766697</v>
      </c>
      <c r="BD25">
        <f t="shared" si="0"/>
        <v>-2.1467792968716044E-2</v>
      </c>
      <c r="BM25">
        <v>73</v>
      </c>
      <c r="BN25">
        <v>22</v>
      </c>
      <c r="BO25">
        <v>0.77604848209302801</v>
      </c>
      <c r="BY25">
        <v>52</v>
      </c>
      <c r="BZ25">
        <v>25</v>
      </c>
      <c r="CA25">
        <v>0.88058350942789498</v>
      </c>
      <c r="CK25">
        <v>94</v>
      </c>
      <c r="CL25">
        <v>22</v>
      </c>
      <c r="CM25">
        <v>2.0565490951229899</v>
      </c>
      <c r="CW25">
        <v>7</v>
      </c>
      <c r="CX25" s="1">
        <v>1.36576860051204</v>
      </c>
      <c r="CY25" s="1">
        <v>1.66115702479338</v>
      </c>
      <c r="DI25" t="s">
        <v>348</v>
      </c>
      <c r="DU25">
        <v>59</v>
      </c>
      <c r="DV25" s="1">
        <v>0</v>
      </c>
      <c r="DW25" s="1">
        <v>1</v>
      </c>
      <c r="EG25">
        <v>18</v>
      </c>
      <c r="EH25" s="1">
        <v>1.0689930831830301</v>
      </c>
      <c r="EI25" s="1">
        <v>1.9125000000000001</v>
      </c>
      <c r="ES25">
        <v>18</v>
      </c>
      <c r="ET25" s="73">
        <v>1.0689930831830301</v>
      </c>
      <c r="EU25" s="73">
        <v>1.9125000000000001</v>
      </c>
      <c r="FE25" t="s">
        <v>343</v>
      </c>
      <c r="FY25" t="s">
        <v>367</v>
      </c>
      <c r="FZ25" t="s">
        <v>35</v>
      </c>
      <c r="GA25">
        <v>2.226</v>
      </c>
      <c r="GB25">
        <v>0.18099999999999999</v>
      </c>
      <c r="GC25">
        <v>0.32700000000000001</v>
      </c>
      <c r="GD25">
        <v>8.0000000000000002E-3</v>
      </c>
      <c r="GE25">
        <v>1.5599999999999999E-2</v>
      </c>
      <c r="GF25">
        <v>0.91100000000000003</v>
      </c>
      <c r="GG25">
        <v>0.72629690999999996</v>
      </c>
      <c r="GK25" t="s">
        <v>421</v>
      </c>
      <c r="GL25" t="s">
        <v>422</v>
      </c>
      <c r="GM25">
        <v>3.7309999999999999</v>
      </c>
      <c r="GN25">
        <v>1.8560000000000001</v>
      </c>
      <c r="GO25">
        <v>1.9990000000000001</v>
      </c>
      <c r="GP25">
        <v>0.36199999999999999</v>
      </c>
      <c r="GQ25">
        <v>-5.1799999999999999E-2</v>
      </c>
      <c r="GR25">
        <v>2.5950000000000002</v>
      </c>
      <c r="GS25">
        <v>0.81123842999999995</v>
      </c>
    </row>
    <row r="26" spans="1:201" x14ac:dyDescent="0.3">
      <c r="A26">
        <v>71</v>
      </c>
      <c r="B26" t="s">
        <v>41</v>
      </c>
      <c r="C26">
        <v>3</v>
      </c>
      <c r="D26">
        <v>5</v>
      </c>
      <c r="E26">
        <v>2</v>
      </c>
      <c r="F26">
        <v>1.3569199999999999</v>
      </c>
      <c r="G26">
        <v>164.2</v>
      </c>
      <c r="H26">
        <v>220</v>
      </c>
      <c r="I26">
        <v>55.8</v>
      </c>
      <c r="J26">
        <v>2.3693900000000001</v>
      </c>
      <c r="K26" t="s">
        <v>245</v>
      </c>
      <c r="X26" s="60">
        <v>50</v>
      </c>
      <c r="Y26" s="61" t="s">
        <v>41</v>
      </c>
      <c r="Z26" s="61">
        <v>0</v>
      </c>
      <c r="AA26" s="61">
        <v>1</v>
      </c>
      <c r="AB26" s="61">
        <v>1</v>
      </c>
      <c r="AC26" s="61">
        <v>0</v>
      </c>
      <c r="AD26" s="61">
        <v>26.3</v>
      </c>
      <c r="AE26" s="61">
        <v>60.7</v>
      </c>
      <c r="AF26" s="61">
        <v>34.4</v>
      </c>
      <c r="AG26" s="61">
        <v>0.82874999999999999</v>
      </c>
      <c r="AH26" s="61" t="s">
        <v>245</v>
      </c>
      <c r="AI26" s="61">
        <f>IF(Table15[[#This Row],[Set]]="Zeta", -2, -20)</f>
        <v>-20</v>
      </c>
      <c r="AO26">
        <v>66</v>
      </c>
      <c r="AP26">
        <v>23</v>
      </c>
      <c r="AQ26">
        <v>104.425427937835</v>
      </c>
      <c r="BA26">
        <v>33</v>
      </c>
      <c r="BB26">
        <v>23</v>
      </c>
      <c r="BC26">
        <v>0.981640612082605</v>
      </c>
      <c r="BD26">
        <f t="shared" si="0"/>
        <v>-1.8530013089001821E-2</v>
      </c>
      <c r="BM26">
        <v>61</v>
      </c>
      <c r="BN26">
        <v>23</v>
      </c>
      <c r="BO26">
        <v>0.78275933924963204</v>
      </c>
      <c r="BY26">
        <v>43</v>
      </c>
      <c r="BZ26">
        <v>26</v>
      </c>
      <c r="CA26">
        <v>0.88666460315957996</v>
      </c>
      <c r="CK26">
        <v>57</v>
      </c>
      <c r="CL26">
        <v>23</v>
      </c>
      <c r="CM26">
        <v>2.1462626022611202</v>
      </c>
      <c r="CW26">
        <v>33</v>
      </c>
      <c r="CX26" s="1">
        <v>1.3534766599671799</v>
      </c>
      <c r="CY26" s="1">
        <v>1.6688311688311599</v>
      </c>
      <c r="DI26" t="s">
        <v>349</v>
      </c>
      <c r="DU26">
        <v>69</v>
      </c>
      <c r="DV26" s="1">
        <v>0</v>
      </c>
      <c r="DW26" s="1">
        <v>1</v>
      </c>
      <c r="EG26">
        <v>39</v>
      </c>
      <c r="EH26" s="1">
        <v>1.10069142891592</v>
      </c>
      <c r="EI26" s="1">
        <v>1.8771186440677901</v>
      </c>
      <c r="ES26" s="72">
        <v>39</v>
      </c>
      <c r="ET26" s="74">
        <v>1.10069142891592</v>
      </c>
      <c r="EU26" s="74">
        <v>1.8771186440677901</v>
      </c>
      <c r="FE26" t="s">
        <v>344</v>
      </c>
      <c r="FY26" t="s">
        <v>367</v>
      </c>
      <c r="FZ26" t="s">
        <v>38</v>
      </c>
      <c r="GA26">
        <v>6.4089999999999998</v>
      </c>
      <c r="GB26">
        <v>0.61499999999999999</v>
      </c>
      <c r="GC26">
        <v>0.65900000000000003</v>
      </c>
      <c r="GD26">
        <v>1.7000000000000001E-2</v>
      </c>
      <c r="GE26">
        <v>1.21E-2</v>
      </c>
      <c r="GF26">
        <v>1.923</v>
      </c>
      <c r="GG26">
        <v>0.62646325000000003</v>
      </c>
      <c r="GK26" s="2" t="s">
        <v>421</v>
      </c>
      <c r="GL26" s="2" t="s">
        <v>426</v>
      </c>
      <c r="GM26" s="2">
        <v>5.6440000000000001</v>
      </c>
      <c r="GN26" s="2">
        <v>4.6390000000000002</v>
      </c>
      <c r="GO26" s="2">
        <v>1.6060000000000001</v>
      </c>
      <c r="GP26" s="2">
        <v>0.214</v>
      </c>
      <c r="GQ26" s="2">
        <v>-3.1199999999999999E-2</v>
      </c>
      <c r="GR26" s="2">
        <v>4.42</v>
      </c>
      <c r="GS26" s="2">
        <v>0.49525457000000001</v>
      </c>
    </row>
    <row r="27" spans="1:201" x14ac:dyDescent="0.3">
      <c r="A27">
        <v>76</v>
      </c>
      <c r="B27" t="s">
        <v>42</v>
      </c>
      <c r="C27">
        <v>69</v>
      </c>
      <c r="D27">
        <v>105</v>
      </c>
      <c r="E27">
        <v>36</v>
      </c>
      <c r="F27">
        <v>1.6509199999999999</v>
      </c>
      <c r="G27">
        <v>53.4</v>
      </c>
      <c r="H27">
        <v>112.2</v>
      </c>
      <c r="I27">
        <v>58.8</v>
      </c>
      <c r="J27">
        <v>0.93357000000000001</v>
      </c>
      <c r="K27" t="s">
        <v>245</v>
      </c>
      <c r="X27" s="60">
        <v>52</v>
      </c>
      <c r="Y27" s="61" t="s">
        <v>41</v>
      </c>
      <c r="Z27" s="61">
        <v>0</v>
      </c>
      <c r="AA27" s="61">
        <v>1</v>
      </c>
      <c r="AB27" s="61">
        <v>1</v>
      </c>
      <c r="AC27" s="61">
        <v>0</v>
      </c>
      <c r="AD27" s="61">
        <v>20.8</v>
      </c>
      <c r="AE27" s="61">
        <v>45.7</v>
      </c>
      <c r="AF27" s="61">
        <v>24.9</v>
      </c>
      <c r="AG27" s="61">
        <v>0.88058000000000003</v>
      </c>
      <c r="AH27" s="61" t="s">
        <v>245</v>
      </c>
      <c r="AI27" s="61">
        <f>IF(Table15[[#This Row],[Set]]="Zeta", -2, -20)</f>
        <v>-20</v>
      </c>
      <c r="AO27">
        <v>53</v>
      </c>
      <c r="AP27">
        <v>24</v>
      </c>
      <c r="AQ27">
        <v>105.761855127451</v>
      </c>
      <c r="BA27">
        <v>34</v>
      </c>
      <c r="BB27">
        <v>24</v>
      </c>
      <c r="BC27">
        <v>0.98705980276236205</v>
      </c>
      <c r="BD27">
        <f t="shared" si="0"/>
        <v>-1.302465094612513E-2</v>
      </c>
      <c r="BM27">
        <v>70</v>
      </c>
      <c r="BN27">
        <v>24</v>
      </c>
      <c r="BO27">
        <v>0.78828285552131805</v>
      </c>
      <c r="BY27">
        <v>51</v>
      </c>
      <c r="BZ27">
        <v>27</v>
      </c>
      <c r="CA27">
        <v>0.90947481200908398</v>
      </c>
      <c r="CK27">
        <v>98</v>
      </c>
      <c r="CL27">
        <v>24</v>
      </c>
      <c r="CM27">
        <v>2.1843899546479801</v>
      </c>
      <c r="CW27">
        <v>34</v>
      </c>
      <c r="CX27" s="1">
        <v>1.33098921793891</v>
      </c>
      <c r="CY27" s="1">
        <v>1.68333333333333</v>
      </c>
      <c r="DI27" t="s">
        <v>350</v>
      </c>
      <c r="DU27" t="s">
        <v>140</v>
      </c>
      <c r="DV27" s="1"/>
      <c r="DW27" s="1"/>
      <c r="EG27">
        <v>38</v>
      </c>
      <c r="EH27" s="1">
        <v>1.1219645718307201</v>
      </c>
      <c r="EI27" s="1">
        <v>1.8548387096774099</v>
      </c>
      <c r="ES27">
        <v>38</v>
      </c>
      <c r="ET27" s="73">
        <v>1.1219645718307201</v>
      </c>
      <c r="EU27" s="73">
        <v>1.8548387096774099</v>
      </c>
      <c r="FY27" t="s">
        <v>367</v>
      </c>
      <c r="FZ27" t="s">
        <v>138</v>
      </c>
      <c r="GA27">
        <v>6.1280000000000001</v>
      </c>
      <c r="GB27">
        <v>2.5049999999999999</v>
      </c>
      <c r="GC27">
        <v>0.60199999999999998</v>
      </c>
      <c r="GD27">
        <v>0.1</v>
      </c>
      <c r="GE27">
        <v>0.02</v>
      </c>
      <c r="GF27">
        <v>3.5019999999999998</v>
      </c>
      <c r="GG27">
        <v>0.61822158999999999</v>
      </c>
      <c r="GK27" t="s">
        <v>427</v>
      </c>
    </row>
    <row r="28" spans="1:201" x14ac:dyDescent="0.3">
      <c r="A28">
        <v>62</v>
      </c>
      <c r="B28" t="s">
        <v>42</v>
      </c>
      <c r="C28">
        <v>27</v>
      </c>
      <c r="D28">
        <v>41</v>
      </c>
      <c r="E28">
        <v>14</v>
      </c>
      <c r="F28">
        <v>1.6593</v>
      </c>
      <c r="G28">
        <v>45.3</v>
      </c>
      <c r="H28">
        <v>51.6</v>
      </c>
      <c r="I28">
        <v>6.3</v>
      </c>
      <c r="J28">
        <v>5.3231099999999998</v>
      </c>
      <c r="K28" t="s">
        <v>245</v>
      </c>
      <c r="X28" s="60">
        <v>43</v>
      </c>
      <c r="Y28" s="61" t="s">
        <v>40</v>
      </c>
      <c r="Z28" s="61">
        <v>0</v>
      </c>
      <c r="AA28" s="61">
        <v>0</v>
      </c>
      <c r="AB28" s="61">
        <v>0</v>
      </c>
      <c r="AC28" s="61">
        <v>0</v>
      </c>
      <c r="AD28" s="61">
        <v>36.700000000000003</v>
      </c>
      <c r="AE28" s="61">
        <v>80.2</v>
      </c>
      <c r="AF28" s="61">
        <v>43.5</v>
      </c>
      <c r="AG28" s="61">
        <v>0.88666</v>
      </c>
      <c r="AH28" s="61" t="s">
        <v>245</v>
      </c>
      <c r="AI28" s="61">
        <f>IF(Table15[[#This Row],[Set]]="Zeta", -2, -20)</f>
        <v>-20</v>
      </c>
      <c r="AO28">
        <v>57</v>
      </c>
      <c r="AP28">
        <v>25</v>
      </c>
      <c r="AQ28">
        <v>111.295822024009</v>
      </c>
      <c r="BA28">
        <v>24</v>
      </c>
      <c r="BB28">
        <v>25</v>
      </c>
      <c r="BC28">
        <v>1.0068047394149799</v>
      </c>
      <c r="BD28">
        <f t="shared" si="0"/>
        <v>6.7816916725724269E-3</v>
      </c>
      <c r="BM28">
        <v>77</v>
      </c>
      <c r="BN28">
        <v>25</v>
      </c>
      <c r="BO28">
        <v>0.78970618974917695</v>
      </c>
      <c r="BY28">
        <v>76</v>
      </c>
      <c r="BZ28">
        <v>28</v>
      </c>
      <c r="CA28">
        <v>0.93356645079507306</v>
      </c>
      <c r="CK28">
        <v>79</v>
      </c>
      <c r="CL28">
        <v>25</v>
      </c>
      <c r="CM28">
        <v>2.19341642216351</v>
      </c>
      <c r="CW28">
        <v>24</v>
      </c>
      <c r="CX28" s="1">
        <v>1.2555454209550201</v>
      </c>
      <c r="CY28" s="1">
        <v>1.73684210526315</v>
      </c>
      <c r="DI28" t="s">
        <v>351</v>
      </c>
      <c r="DU28" t="s">
        <v>345</v>
      </c>
      <c r="DV28" s="1"/>
      <c r="DW28" s="1"/>
      <c r="EG28">
        <v>58</v>
      </c>
      <c r="EH28" s="1">
        <v>1.2386126258466601</v>
      </c>
      <c r="EI28" s="1">
        <v>1.75</v>
      </c>
      <c r="ES28" s="72">
        <v>58</v>
      </c>
      <c r="ET28" s="74">
        <v>1.2386126258466601</v>
      </c>
      <c r="EU28" s="74">
        <v>1.75</v>
      </c>
      <c r="FY28" t="s">
        <v>367</v>
      </c>
      <c r="FZ28" t="s">
        <v>41</v>
      </c>
      <c r="GA28">
        <v>7.8250000000000002</v>
      </c>
      <c r="GB28">
        <v>1.4059999999999999</v>
      </c>
      <c r="GC28">
        <v>0.57399999999999995</v>
      </c>
      <c r="GD28">
        <v>3.5999999999999997E-2</v>
      </c>
      <c r="GE28">
        <v>1.32E-2</v>
      </c>
      <c r="GF28">
        <v>3.2519999999999998</v>
      </c>
      <c r="GG28">
        <v>0.57396669</v>
      </c>
      <c r="GK28" t="s">
        <v>428</v>
      </c>
    </row>
    <row r="29" spans="1:201" x14ac:dyDescent="0.3">
      <c r="A29">
        <v>57</v>
      </c>
      <c r="B29" t="s">
        <v>41</v>
      </c>
      <c r="C29">
        <v>4</v>
      </c>
      <c r="D29">
        <v>6</v>
      </c>
      <c r="E29">
        <v>2</v>
      </c>
      <c r="F29">
        <v>1.7095100000000001</v>
      </c>
      <c r="G29">
        <v>94.7</v>
      </c>
      <c r="H29">
        <v>130.80000000000001</v>
      </c>
      <c r="I29">
        <v>36.1</v>
      </c>
      <c r="J29">
        <v>2.1462599999999998</v>
      </c>
      <c r="K29" t="s">
        <v>245</v>
      </c>
      <c r="X29" s="60">
        <v>51</v>
      </c>
      <c r="Y29" s="61" t="s">
        <v>39</v>
      </c>
      <c r="Z29" s="61">
        <v>6</v>
      </c>
      <c r="AA29" s="61">
        <v>0</v>
      </c>
      <c r="AB29" s="61">
        <v>-6</v>
      </c>
      <c r="AC29" s="61">
        <v>0</v>
      </c>
      <c r="AD29" s="61">
        <v>19.600000000000001</v>
      </c>
      <c r="AE29" s="61">
        <v>42</v>
      </c>
      <c r="AF29" s="61">
        <v>22.4</v>
      </c>
      <c r="AG29" s="61">
        <v>0.90947</v>
      </c>
      <c r="AH29" s="61" t="s">
        <v>245</v>
      </c>
      <c r="AI29" s="61">
        <f>IF(Table15[[#This Row],[Set]]="Zeta", -2, -20)</f>
        <v>-2</v>
      </c>
      <c r="AO29">
        <v>75</v>
      </c>
      <c r="AP29">
        <v>26</v>
      </c>
      <c r="AQ29">
        <v>111.54460991011599</v>
      </c>
      <c r="BA29">
        <v>58</v>
      </c>
      <c r="BB29">
        <v>26</v>
      </c>
      <c r="BC29">
        <v>1.0116009116784701</v>
      </c>
      <c r="BD29">
        <f t="shared" si="0"/>
        <v>1.1534137037535518E-2</v>
      </c>
      <c r="BM29">
        <v>68</v>
      </c>
      <c r="BN29">
        <v>26</v>
      </c>
      <c r="BO29">
        <v>0.804495564005549</v>
      </c>
      <c r="BY29">
        <v>35</v>
      </c>
      <c r="BZ29">
        <v>29</v>
      </c>
      <c r="CA29">
        <v>0.96594946309006002</v>
      </c>
      <c r="CK29">
        <v>74</v>
      </c>
      <c r="CL29">
        <v>26</v>
      </c>
      <c r="CM29">
        <v>2.2890908892788602</v>
      </c>
      <c r="CW29">
        <v>58</v>
      </c>
      <c r="CX29" s="1">
        <v>1.2386126258466601</v>
      </c>
      <c r="CY29" s="1">
        <v>1.75</v>
      </c>
      <c r="DI29" t="s">
        <v>352</v>
      </c>
      <c r="DU29" t="s">
        <v>346</v>
      </c>
      <c r="DV29" s="1"/>
      <c r="DW29" s="1"/>
      <c r="EG29">
        <v>24</v>
      </c>
      <c r="EH29" s="1">
        <v>1.2555454209550201</v>
      </c>
      <c r="EI29" s="1">
        <v>1.73684210526315</v>
      </c>
      <c r="ES29">
        <v>24</v>
      </c>
      <c r="ET29" s="73">
        <v>1.2555454209550201</v>
      </c>
      <c r="EU29" s="73">
        <v>1.73684210526315</v>
      </c>
      <c r="FY29" t="s">
        <v>367</v>
      </c>
      <c r="FZ29" t="s">
        <v>36</v>
      </c>
      <c r="GA29">
        <v>2.9129999999999998</v>
      </c>
      <c r="GB29">
        <v>0.19700000000000001</v>
      </c>
      <c r="GC29">
        <v>0.29899999999999999</v>
      </c>
      <c r="GD29">
        <v>8.9999999999999993E-3</v>
      </c>
      <c r="GE29">
        <v>2.46E-2</v>
      </c>
      <c r="GF29">
        <v>0.92800000000000005</v>
      </c>
      <c r="GG29">
        <v>0.52844833000000002</v>
      </c>
    </row>
    <row r="30" spans="1:201" x14ac:dyDescent="0.3">
      <c r="A30">
        <v>75</v>
      </c>
      <c r="B30" t="s">
        <v>41</v>
      </c>
      <c r="C30">
        <v>21</v>
      </c>
      <c r="D30">
        <v>31</v>
      </c>
      <c r="E30">
        <v>10</v>
      </c>
      <c r="F30">
        <v>1.7797400000000001</v>
      </c>
      <c r="G30">
        <v>106.8</v>
      </c>
      <c r="H30">
        <v>116.5</v>
      </c>
      <c r="I30">
        <v>9.6999999999999993</v>
      </c>
      <c r="J30">
        <v>7.9733200000000002</v>
      </c>
      <c r="K30" t="s">
        <v>245</v>
      </c>
      <c r="X30" s="60">
        <v>76</v>
      </c>
      <c r="Y30" s="61" t="s">
        <v>42</v>
      </c>
      <c r="Z30" s="61">
        <v>69</v>
      </c>
      <c r="AA30" s="61">
        <v>105</v>
      </c>
      <c r="AB30" s="61">
        <v>36</v>
      </c>
      <c r="AC30" s="61">
        <v>1.6509199999999999</v>
      </c>
      <c r="AD30" s="61">
        <v>53.4</v>
      </c>
      <c r="AE30" s="61">
        <v>112.2</v>
      </c>
      <c r="AF30" s="61">
        <v>58.8</v>
      </c>
      <c r="AG30" s="61">
        <v>0.93357000000000001</v>
      </c>
      <c r="AH30" s="61" t="s">
        <v>245</v>
      </c>
      <c r="AI30" s="61">
        <f>IF(Table15[[#This Row],[Set]]="Zeta", -2, -20)</f>
        <v>-20</v>
      </c>
      <c r="AO30">
        <v>78</v>
      </c>
      <c r="AP30">
        <v>27</v>
      </c>
      <c r="AQ30">
        <v>117.79711371676299</v>
      </c>
      <c r="BA30">
        <v>38</v>
      </c>
      <c r="BB30">
        <v>27</v>
      </c>
      <c r="BC30">
        <v>1.04901534752873</v>
      </c>
      <c r="BD30">
        <f t="shared" si="0"/>
        <v>4.7851959935093537E-2</v>
      </c>
      <c r="BM30">
        <v>63</v>
      </c>
      <c r="BN30">
        <v>27</v>
      </c>
      <c r="BO30">
        <v>0.80790710875306504</v>
      </c>
      <c r="BY30">
        <v>11</v>
      </c>
      <c r="BZ30">
        <v>30</v>
      </c>
      <c r="CA30">
        <v>0.96818108314798801</v>
      </c>
      <c r="CK30">
        <v>100</v>
      </c>
      <c r="CL30">
        <v>27</v>
      </c>
      <c r="CM30">
        <v>2.3328494051809101</v>
      </c>
      <c r="CW30">
        <v>38</v>
      </c>
      <c r="CX30" s="1">
        <v>1.1219645718307201</v>
      </c>
      <c r="CY30" s="1">
        <v>1.8548387096774099</v>
      </c>
      <c r="DI30" t="s">
        <v>353</v>
      </c>
      <c r="DU30" t="s">
        <v>347</v>
      </c>
      <c r="DV30" s="1"/>
      <c r="DW30" s="1"/>
      <c r="EG30">
        <v>34</v>
      </c>
      <c r="EH30" s="1">
        <v>1.33098921793891</v>
      </c>
      <c r="EI30" s="1">
        <v>1.68333333333333</v>
      </c>
      <c r="ES30" s="72">
        <v>34</v>
      </c>
      <c r="ET30" s="74">
        <v>1.33098921793891</v>
      </c>
      <c r="EU30" s="74">
        <v>1.68333333333333</v>
      </c>
      <c r="FY30" t="s">
        <v>367</v>
      </c>
      <c r="FZ30" t="s">
        <v>42</v>
      </c>
      <c r="GA30">
        <v>4.4930000000000003</v>
      </c>
      <c r="GB30">
        <v>0.64100000000000001</v>
      </c>
      <c r="GC30">
        <v>0.77300000000000002</v>
      </c>
      <c r="GD30">
        <v>1.7999999999999999E-2</v>
      </c>
      <c r="GE30">
        <v>1.7500000000000002E-2</v>
      </c>
      <c r="GF30">
        <v>1.2470000000000001</v>
      </c>
      <c r="GG30">
        <v>0.44905726000000001</v>
      </c>
    </row>
    <row r="31" spans="1:201" x14ac:dyDescent="0.3">
      <c r="A31">
        <v>80</v>
      </c>
      <c r="B31" t="s">
        <v>42</v>
      </c>
      <c r="C31">
        <v>66</v>
      </c>
      <c r="D31">
        <v>97</v>
      </c>
      <c r="E31">
        <v>31</v>
      </c>
      <c r="F31">
        <v>1.8001199999999999</v>
      </c>
      <c r="G31">
        <v>78</v>
      </c>
      <c r="H31">
        <v>89.6</v>
      </c>
      <c r="I31">
        <v>11.6</v>
      </c>
      <c r="J31">
        <v>4.9993800000000004</v>
      </c>
      <c r="K31" t="s">
        <v>245</v>
      </c>
      <c r="X31" s="60">
        <v>35</v>
      </c>
      <c r="Y31" s="61" t="s">
        <v>40</v>
      </c>
      <c r="Z31" s="61">
        <v>0</v>
      </c>
      <c r="AA31" s="61">
        <v>0</v>
      </c>
      <c r="AB31" s="61">
        <v>0</v>
      </c>
      <c r="AC31" s="61">
        <v>0</v>
      </c>
      <c r="AD31" s="61">
        <v>28.3</v>
      </c>
      <c r="AE31" s="61">
        <v>58</v>
      </c>
      <c r="AF31" s="61">
        <v>29.7</v>
      </c>
      <c r="AG31" s="61">
        <v>0.96594999999999998</v>
      </c>
      <c r="AH31" s="61" t="s">
        <v>245</v>
      </c>
      <c r="AI31" s="61">
        <f>IF(Table15[[#This Row],[Set]]="Zeta", -2, -20)</f>
        <v>-20</v>
      </c>
      <c r="AO31">
        <v>97</v>
      </c>
      <c r="AP31">
        <v>28</v>
      </c>
      <c r="AQ31">
        <v>132.74106372935199</v>
      </c>
      <c r="BA31">
        <v>39</v>
      </c>
      <c r="BB31">
        <v>28</v>
      </c>
      <c r="BC31">
        <v>1.05678932253308</v>
      </c>
      <c r="BD31">
        <f t="shared" si="0"/>
        <v>5.5235370591553166E-2</v>
      </c>
      <c r="BM31">
        <v>8</v>
      </c>
      <c r="BN31">
        <v>28</v>
      </c>
      <c r="BO31">
        <v>0.81431202532370905</v>
      </c>
      <c r="BY31">
        <v>78</v>
      </c>
      <c r="BZ31">
        <v>31</v>
      </c>
      <c r="CA31">
        <v>0.96976665571058895</v>
      </c>
      <c r="CK31">
        <v>71</v>
      </c>
      <c r="CL31">
        <v>28</v>
      </c>
      <c r="CM31">
        <v>2.36939090062645</v>
      </c>
      <c r="CW31">
        <v>39</v>
      </c>
      <c r="CX31" s="1">
        <v>1.10069142891592</v>
      </c>
      <c r="CY31" s="1">
        <v>1.8771186440677901</v>
      </c>
      <c r="DU31" t="s">
        <v>348</v>
      </c>
      <c r="DV31" s="1"/>
      <c r="DW31" s="1"/>
      <c r="EG31">
        <v>33</v>
      </c>
      <c r="EH31" s="1">
        <v>1.3534766599671799</v>
      </c>
      <c r="EI31" s="1">
        <v>1.6688311688311599</v>
      </c>
      <c r="ES31">
        <v>33</v>
      </c>
      <c r="ET31" s="73">
        <v>1.3534766599671799</v>
      </c>
      <c r="EU31" s="73">
        <v>1.6688311688311599</v>
      </c>
    </row>
    <row r="32" spans="1:201" x14ac:dyDescent="0.3">
      <c r="A32">
        <v>61</v>
      </c>
      <c r="B32" t="s">
        <v>41</v>
      </c>
      <c r="C32">
        <v>9</v>
      </c>
      <c r="D32">
        <v>13</v>
      </c>
      <c r="E32">
        <v>4</v>
      </c>
      <c r="F32">
        <v>1.88496</v>
      </c>
      <c r="G32">
        <v>12.8</v>
      </c>
      <c r="H32">
        <v>15.2</v>
      </c>
      <c r="I32">
        <v>2.4</v>
      </c>
      <c r="J32">
        <v>4.0334399999999997</v>
      </c>
      <c r="K32" t="s">
        <v>245</v>
      </c>
      <c r="X32" s="60">
        <v>11</v>
      </c>
      <c r="Y32" s="61" t="s">
        <v>40</v>
      </c>
      <c r="Z32" s="61">
        <v>0</v>
      </c>
      <c r="AA32" s="61">
        <v>0</v>
      </c>
      <c r="AB32" s="61">
        <v>0</v>
      </c>
      <c r="AC32" s="61">
        <v>0</v>
      </c>
      <c r="AD32" s="61">
        <v>21.7</v>
      </c>
      <c r="AE32" s="61">
        <v>44.4</v>
      </c>
      <c r="AF32" s="61">
        <v>22.7</v>
      </c>
      <c r="AG32" s="61">
        <v>0.96818000000000004</v>
      </c>
      <c r="AH32" s="61" t="s">
        <v>245</v>
      </c>
      <c r="AI32" s="61">
        <f>IF(Table15[[#This Row],[Set]]="Zeta", -2, -20)</f>
        <v>-20</v>
      </c>
      <c r="AO32">
        <v>87</v>
      </c>
      <c r="AP32">
        <v>29</v>
      </c>
      <c r="AQ32">
        <v>134.611106525427</v>
      </c>
      <c r="BA32">
        <v>18</v>
      </c>
      <c r="BB32">
        <v>29</v>
      </c>
      <c r="BC32">
        <v>1.0690118188918101</v>
      </c>
      <c r="BD32">
        <f t="shared" si="0"/>
        <v>6.6734688007805798E-2</v>
      </c>
      <c r="BM32">
        <v>36</v>
      </c>
      <c r="BN32">
        <v>29</v>
      </c>
      <c r="BO32">
        <v>0.81574950265227697</v>
      </c>
      <c r="BY32">
        <v>1</v>
      </c>
      <c r="BZ32">
        <v>32</v>
      </c>
      <c r="CA32">
        <v>0.98480442772704402</v>
      </c>
      <c r="CK32">
        <v>90</v>
      </c>
      <c r="CL32">
        <v>29</v>
      </c>
      <c r="CM32">
        <v>2.4739247953910399</v>
      </c>
      <c r="CW32">
        <v>18</v>
      </c>
      <c r="CX32" s="1">
        <v>1.0689930831830301</v>
      </c>
      <c r="CY32" s="1">
        <v>1.9125000000000001</v>
      </c>
      <c r="DU32" t="s">
        <v>349</v>
      </c>
      <c r="DV32" s="1"/>
      <c r="DW32" s="1"/>
      <c r="EG32">
        <v>7</v>
      </c>
      <c r="EH32" s="1">
        <v>1.36576860051204</v>
      </c>
      <c r="EI32" s="1">
        <v>1.66115702479338</v>
      </c>
      <c r="ES32" s="72">
        <v>7</v>
      </c>
      <c r="ET32" s="74">
        <v>1.36576860051204</v>
      </c>
      <c r="EU32" s="74">
        <v>1.66115702479338</v>
      </c>
    </row>
    <row r="33" spans="1:196" x14ac:dyDescent="0.3">
      <c r="A33">
        <v>72</v>
      </c>
      <c r="B33" t="s">
        <v>41</v>
      </c>
      <c r="C33">
        <v>12</v>
      </c>
      <c r="D33">
        <v>17</v>
      </c>
      <c r="E33">
        <v>5</v>
      </c>
      <c r="F33">
        <v>1.9900500000000001</v>
      </c>
      <c r="G33">
        <v>290.2</v>
      </c>
      <c r="H33">
        <v>301</v>
      </c>
      <c r="I33">
        <v>10.8</v>
      </c>
      <c r="J33">
        <v>18.969580000000001</v>
      </c>
      <c r="K33" t="s">
        <v>245</v>
      </c>
      <c r="X33" s="60">
        <v>78</v>
      </c>
      <c r="Y33" s="61" t="s">
        <v>42</v>
      </c>
      <c r="Z33" s="61">
        <v>81</v>
      </c>
      <c r="AA33" s="61">
        <v>97</v>
      </c>
      <c r="AB33" s="61">
        <v>16</v>
      </c>
      <c r="AC33" s="61">
        <v>3.8452199999999999</v>
      </c>
      <c r="AD33" s="61">
        <v>82.4</v>
      </c>
      <c r="AE33" s="61">
        <v>168.4</v>
      </c>
      <c r="AF33" s="61">
        <v>86</v>
      </c>
      <c r="AG33" s="61">
        <v>0.96977000000000002</v>
      </c>
      <c r="AH33" s="61" t="s">
        <v>245</v>
      </c>
      <c r="AI33" s="61">
        <f>IF(Table15[[#This Row],[Set]]="Zeta", -2, -20)</f>
        <v>-20</v>
      </c>
      <c r="AO33">
        <v>65</v>
      </c>
      <c r="AP33">
        <v>30</v>
      </c>
      <c r="AQ33">
        <v>135.65839450620001</v>
      </c>
      <c r="BA33">
        <v>1</v>
      </c>
      <c r="BB33">
        <v>30</v>
      </c>
      <c r="BC33">
        <v>1.10575517618048</v>
      </c>
      <c r="BD33">
        <f t="shared" si="0"/>
        <v>0.10052851890431838</v>
      </c>
      <c r="BM33">
        <v>95</v>
      </c>
      <c r="BN33">
        <v>30</v>
      </c>
      <c r="BO33">
        <v>0.81666608099877902</v>
      </c>
      <c r="BY33">
        <v>56</v>
      </c>
      <c r="BZ33">
        <v>33</v>
      </c>
      <c r="CA33">
        <v>1</v>
      </c>
      <c r="CK33">
        <v>66</v>
      </c>
      <c r="CL33">
        <v>30</v>
      </c>
      <c r="CM33">
        <v>2.5387141651918199</v>
      </c>
      <c r="CW33">
        <v>1</v>
      </c>
      <c r="CX33" s="1">
        <v>0.98480442772704402</v>
      </c>
      <c r="CY33" s="1">
        <v>2.0215053763440798</v>
      </c>
      <c r="DU33" t="s">
        <v>350</v>
      </c>
      <c r="DV33" s="1"/>
      <c r="DW33" s="1"/>
      <c r="EG33">
        <v>46</v>
      </c>
      <c r="EH33" s="1">
        <v>1.4011571585570699</v>
      </c>
      <c r="EI33" s="1">
        <v>1.64</v>
      </c>
      <c r="ES33">
        <v>46</v>
      </c>
      <c r="ET33" s="73">
        <v>1.4011571585570699</v>
      </c>
      <c r="EU33" s="73">
        <v>1.64</v>
      </c>
    </row>
    <row r="34" spans="1:196" x14ac:dyDescent="0.3">
      <c r="A34">
        <v>99</v>
      </c>
      <c r="B34" t="s">
        <v>42</v>
      </c>
      <c r="C34">
        <v>194</v>
      </c>
      <c r="D34">
        <v>272</v>
      </c>
      <c r="E34">
        <v>78</v>
      </c>
      <c r="F34">
        <v>2.0510700000000002</v>
      </c>
      <c r="G34">
        <v>71.8</v>
      </c>
      <c r="H34">
        <v>103.6</v>
      </c>
      <c r="I34">
        <v>31.8</v>
      </c>
      <c r="J34">
        <v>1.8904700000000001</v>
      </c>
      <c r="K34" t="s">
        <v>245</v>
      </c>
      <c r="X34" s="60">
        <v>1</v>
      </c>
      <c r="Y34" s="61" t="s">
        <v>40</v>
      </c>
      <c r="Z34" s="61">
        <v>0</v>
      </c>
      <c r="AA34" s="61">
        <v>0</v>
      </c>
      <c r="AB34" s="61">
        <v>0</v>
      </c>
      <c r="AC34" s="61">
        <v>0</v>
      </c>
      <c r="AD34" s="61">
        <v>9.3000000000000007</v>
      </c>
      <c r="AE34" s="61">
        <v>18.8</v>
      </c>
      <c r="AF34" s="61">
        <v>9.5</v>
      </c>
      <c r="AG34" s="61">
        <v>0.98480000000000001</v>
      </c>
      <c r="AH34" s="61" t="s">
        <v>245</v>
      </c>
      <c r="AI34" s="61">
        <f>IF(Table15[[#This Row],[Set]]="Zeta", -2, -20)</f>
        <v>-20</v>
      </c>
      <c r="AO34">
        <v>67</v>
      </c>
      <c r="AP34">
        <v>31</v>
      </c>
      <c r="AQ34">
        <v>146.32785107422299</v>
      </c>
      <c r="BA34">
        <v>11</v>
      </c>
      <c r="BB34">
        <v>31</v>
      </c>
      <c r="BC34">
        <v>1.1138564863112199</v>
      </c>
      <c r="BD34">
        <f t="shared" si="0"/>
        <v>0.10782830583739071</v>
      </c>
      <c r="BM34">
        <v>92</v>
      </c>
      <c r="BN34">
        <v>31</v>
      </c>
      <c r="BO34">
        <v>0.81852013573278504</v>
      </c>
      <c r="BY34">
        <v>64</v>
      </c>
      <c r="BZ34">
        <v>34</v>
      </c>
      <c r="CA34">
        <v>1.0266371224975599</v>
      </c>
      <c r="CK34">
        <v>93</v>
      </c>
      <c r="CL34">
        <v>31</v>
      </c>
      <c r="CM34">
        <v>2.61924183178817</v>
      </c>
      <c r="CW34">
        <v>11</v>
      </c>
      <c r="CX34" s="1">
        <v>0.96818108314798801</v>
      </c>
      <c r="CY34" s="1">
        <v>2.04608294930875</v>
      </c>
      <c r="DU34" t="s">
        <v>351</v>
      </c>
      <c r="DV34" s="1"/>
      <c r="DW34" s="1"/>
      <c r="EG34">
        <v>47</v>
      </c>
      <c r="EH34" s="1">
        <v>1.4934633087510301</v>
      </c>
      <c r="EI34" s="1">
        <v>1.5906148867313901</v>
      </c>
      <c r="ES34" s="72">
        <v>47</v>
      </c>
      <c r="ET34" s="74">
        <v>1.4934633087510301</v>
      </c>
      <c r="EU34" s="74">
        <v>1.5906148867313901</v>
      </c>
    </row>
    <row r="35" spans="1:196" x14ac:dyDescent="0.3">
      <c r="A35">
        <v>96</v>
      </c>
      <c r="B35" t="s">
        <v>42</v>
      </c>
      <c r="C35">
        <v>556</v>
      </c>
      <c r="D35">
        <v>768</v>
      </c>
      <c r="E35">
        <v>212</v>
      </c>
      <c r="F35">
        <v>2.1458200000000001</v>
      </c>
      <c r="G35">
        <v>255.8</v>
      </c>
      <c r="H35">
        <v>389.6</v>
      </c>
      <c r="I35">
        <v>133.80000000000001</v>
      </c>
      <c r="J35">
        <v>1.64751</v>
      </c>
      <c r="K35">
        <v>0.90454000000000001</v>
      </c>
      <c r="X35" s="60">
        <v>56</v>
      </c>
      <c r="Y35" s="61" t="s">
        <v>39</v>
      </c>
      <c r="Z35" s="61">
        <v>0</v>
      </c>
      <c r="AA35" s="61">
        <v>0</v>
      </c>
      <c r="AB35" s="61">
        <v>0</v>
      </c>
      <c r="AC35" s="61">
        <v>0</v>
      </c>
      <c r="AD35" s="61">
        <v>15.5</v>
      </c>
      <c r="AE35" s="61">
        <v>31</v>
      </c>
      <c r="AF35" s="61">
        <v>15.5</v>
      </c>
      <c r="AG35" s="61">
        <v>1</v>
      </c>
      <c r="AH35" s="61" t="s">
        <v>245</v>
      </c>
      <c r="AI35" s="61">
        <f>IF(Table15[[#This Row],[Set]]="Zeta", -2, -20)</f>
        <v>-2</v>
      </c>
      <c r="AO35">
        <v>79</v>
      </c>
      <c r="AP35">
        <v>32</v>
      </c>
      <c r="AQ35">
        <v>152.83814968783099</v>
      </c>
      <c r="BA35">
        <v>35</v>
      </c>
      <c r="BB35">
        <v>32</v>
      </c>
      <c r="BC35">
        <v>1.11496779344019</v>
      </c>
      <c r="BD35">
        <f t="shared" si="0"/>
        <v>0.10882551968790356</v>
      </c>
      <c r="BM35">
        <v>88</v>
      </c>
      <c r="BN35">
        <v>32</v>
      </c>
      <c r="BO35">
        <v>0.82788329794584203</v>
      </c>
      <c r="BY35">
        <v>18</v>
      </c>
      <c r="BZ35">
        <v>35</v>
      </c>
      <c r="CA35">
        <v>1.0689930831830301</v>
      </c>
      <c r="CK35">
        <v>84</v>
      </c>
      <c r="CL35">
        <v>32</v>
      </c>
      <c r="CM35">
        <v>2.6644995105181399</v>
      </c>
      <c r="CW35">
        <v>35</v>
      </c>
      <c r="CX35" s="1">
        <v>0.96594946309006002</v>
      </c>
      <c r="CY35" s="1">
        <v>2.04946996466431</v>
      </c>
      <c r="DU35" t="s">
        <v>352</v>
      </c>
      <c r="DV35" s="1"/>
      <c r="DW35" s="1"/>
      <c r="EG35">
        <v>5</v>
      </c>
      <c r="EH35" s="1">
        <v>1.4952285205156799</v>
      </c>
      <c r="EI35" s="1">
        <v>1.5897435897435801</v>
      </c>
      <c r="ES35">
        <v>5</v>
      </c>
      <c r="ET35" s="73">
        <v>1.4952285205156799</v>
      </c>
      <c r="EU35" s="73">
        <v>1.5897435897435801</v>
      </c>
    </row>
    <row r="36" spans="1:196" x14ac:dyDescent="0.3">
      <c r="A36">
        <v>73</v>
      </c>
      <c r="B36" t="s">
        <v>41</v>
      </c>
      <c r="C36">
        <v>39</v>
      </c>
      <c r="D36">
        <v>49</v>
      </c>
      <c r="E36">
        <v>10</v>
      </c>
      <c r="F36">
        <v>3.03667</v>
      </c>
      <c r="G36">
        <v>83.3</v>
      </c>
      <c r="H36">
        <v>97.7</v>
      </c>
      <c r="I36">
        <v>14.4</v>
      </c>
      <c r="J36">
        <v>4.3470300000000002</v>
      </c>
      <c r="K36" t="s">
        <v>245</v>
      </c>
      <c r="X36" s="60">
        <v>64</v>
      </c>
      <c r="Y36" s="61" t="s">
        <v>41</v>
      </c>
      <c r="Z36" s="61">
        <v>63</v>
      </c>
      <c r="AA36" s="61">
        <v>67</v>
      </c>
      <c r="AB36" s="61">
        <v>4</v>
      </c>
      <c r="AC36" s="61">
        <v>11.26009</v>
      </c>
      <c r="AD36" s="61">
        <v>53.3</v>
      </c>
      <c r="AE36" s="61">
        <v>104.7</v>
      </c>
      <c r="AF36" s="61">
        <v>51.4</v>
      </c>
      <c r="AG36" s="61">
        <v>1.02664</v>
      </c>
      <c r="AH36" s="61" t="s">
        <v>245</v>
      </c>
      <c r="AI36" s="61">
        <f>IF(Table15[[#This Row],[Set]]="Zeta", -2, -20)</f>
        <v>-20</v>
      </c>
      <c r="AO36">
        <v>74</v>
      </c>
      <c r="AP36">
        <v>33</v>
      </c>
      <c r="AQ36">
        <v>164.16485616598899</v>
      </c>
      <c r="BA36">
        <v>43</v>
      </c>
      <c r="BB36">
        <v>33</v>
      </c>
      <c r="BC36">
        <v>1.15854211341749</v>
      </c>
      <c r="BD36">
        <f t="shared" si="0"/>
        <v>0.14716241590631621</v>
      </c>
      <c r="BM36">
        <v>84</v>
      </c>
      <c r="BN36">
        <v>33</v>
      </c>
      <c r="BO36">
        <v>0.83165344451920098</v>
      </c>
      <c r="BY36">
        <v>39</v>
      </c>
      <c r="BZ36">
        <v>36</v>
      </c>
      <c r="CA36">
        <v>1.10069142891592</v>
      </c>
      <c r="CK36">
        <v>88</v>
      </c>
      <c r="CL36">
        <v>33</v>
      </c>
      <c r="CM36">
        <v>2.7347921573965901</v>
      </c>
      <c r="CW36">
        <v>43</v>
      </c>
      <c r="CX36" s="1">
        <v>0.88666460315957996</v>
      </c>
      <c r="CY36" s="1">
        <v>2.18528610354223</v>
      </c>
      <c r="DU36" s="69" t="s">
        <v>353</v>
      </c>
      <c r="DV36" s="70"/>
      <c r="DW36" s="70"/>
      <c r="EG36">
        <v>29</v>
      </c>
      <c r="EH36" s="1">
        <v>1.5840298982876999</v>
      </c>
      <c r="EI36" s="1">
        <v>1.54896142433234</v>
      </c>
      <c r="ES36" s="72">
        <v>29</v>
      </c>
      <c r="ET36" s="74">
        <v>1.5840298982876999</v>
      </c>
      <c r="EU36" s="74">
        <v>1.54896142433234</v>
      </c>
    </row>
    <row r="37" spans="1:196" x14ac:dyDescent="0.3">
      <c r="A37">
        <v>98</v>
      </c>
      <c r="B37" t="s">
        <v>42</v>
      </c>
      <c r="C37">
        <v>265</v>
      </c>
      <c r="D37">
        <v>322</v>
      </c>
      <c r="E37">
        <v>57</v>
      </c>
      <c r="F37">
        <v>3.5578500000000002</v>
      </c>
      <c r="G37">
        <v>200.3</v>
      </c>
      <c r="H37">
        <v>275.10000000000002</v>
      </c>
      <c r="I37">
        <v>74.8</v>
      </c>
      <c r="J37">
        <v>2.1843900000000001</v>
      </c>
      <c r="K37" t="s">
        <v>245</v>
      </c>
      <c r="X37" s="60">
        <v>18</v>
      </c>
      <c r="Y37" s="61" t="s">
        <v>40</v>
      </c>
      <c r="Z37" s="61">
        <v>0</v>
      </c>
      <c r="AA37" s="61">
        <v>0</v>
      </c>
      <c r="AB37" s="61">
        <v>0</v>
      </c>
      <c r="AC37" s="61">
        <v>0</v>
      </c>
      <c r="AD37" s="61">
        <v>8</v>
      </c>
      <c r="AE37" s="61">
        <v>15.3</v>
      </c>
      <c r="AF37" s="61">
        <v>7.3</v>
      </c>
      <c r="AG37" s="61">
        <v>1.0689900000000001</v>
      </c>
      <c r="AH37" s="61" t="s">
        <v>245</v>
      </c>
      <c r="AI37" s="61">
        <f>IF(Table15[[#This Row],[Set]]="Zeta", -2, -20)</f>
        <v>-20</v>
      </c>
      <c r="AO37">
        <v>90</v>
      </c>
      <c r="AP37">
        <v>34</v>
      </c>
      <c r="AQ37">
        <v>169.335643028867</v>
      </c>
      <c r="BA37">
        <v>14</v>
      </c>
      <c r="BB37">
        <v>34</v>
      </c>
      <c r="BC37">
        <v>1.2514866441357599</v>
      </c>
      <c r="BD37">
        <f t="shared" si="0"/>
        <v>0.22433215994761699</v>
      </c>
      <c r="BM37">
        <v>93</v>
      </c>
      <c r="BN37">
        <v>34</v>
      </c>
      <c r="BO37">
        <v>0.83419410525663995</v>
      </c>
      <c r="BY37">
        <v>38</v>
      </c>
      <c r="BZ37">
        <v>37</v>
      </c>
      <c r="CA37">
        <v>1.1219645718307201</v>
      </c>
      <c r="CK37">
        <v>92</v>
      </c>
      <c r="CL37">
        <v>34</v>
      </c>
      <c r="CM37">
        <v>2.92758440395093</v>
      </c>
      <c r="CW37">
        <v>14</v>
      </c>
      <c r="CX37" s="1">
        <v>0.75794924810075204</v>
      </c>
      <c r="CY37" s="1">
        <v>2.49553571428571</v>
      </c>
      <c r="EG37">
        <v>21</v>
      </c>
      <c r="EH37" s="1">
        <v>1.6216092786808101</v>
      </c>
      <c r="EI37" s="1">
        <v>1.5333333333333301</v>
      </c>
      <c r="ES37">
        <v>21</v>
      </c>
      <c r="ET37" s="73">
        <v>1.6216092786808101</v>
      </c>
      <c r="EU37" s="73">
        <v>1.5333333333333301</v>
      </c>
      <c r="GK37" s="90" t="s">
        <v>438</v>
      </c>
      <c r="GL37" s="90" t="s">
        <v>439</v>
      </c>
    </row>
    <row r="38" spans="1:196" x14ac:dyDescent="0.3">
      <c r="A38">
        <v>94</v>
      </c>
      <c r="B38" t="s">
        <v>39</v>
      </c>
      <c r="C38">
        <v>291</v>
      </c>
      <c r="D38">
        <v>351</v>
      </c>
      <c r="E38">
        <v>60</v>
      </c>
      <c r="F38">
        <v>3.6975199999999999</v>
      </c>
      <c r="G38">
        <v>174.9</v>
      </c>
      <c r="H38">
        <v>245</v>
      </c>
      <c r="I38">
        <v>70.099999999999994</v>
      </c>
      <c r="J38">
        <v>2.0565500000000001</v>
      </c>
      <c r="K38" t="s">
        <v>245</v>
      </c>
      <c r="X38" s="60">
        <v>39</v>
      </c>
      <c r="Y38" s="61" t="s">
        <v>40</v>
      </c>
      <c r="Z38" s="61">
        <v>0</v>
      </c>
      <c r="AA38" s="61">
        <v>0</v>
      </c>
      <c r="AB38" s="61">
        <v>0</v>
      </c>
      <c r="AC38" s="61">
        <v>0</v>
      </c>
      <c r="AD38" s="61">
        <v>23.6</v>
      </c>
      <c r="AE38" s="61">
        <v>44.3</v>
      </c>
      <c r="AF38" s="61">
        <v>20.7</v>
      </c>
      <c r="AG38" s="61">
        <v>1.1006899999999999</v>
      </c>
      <c r="AH38" s="61" t="s">
        <v>245</v>
      </c>
      <c r="AI38" s="61">
        <f>IF(Table15[[#This Row],[Set]]="Zeta", -2, -20)</f>
        <v>-20</v>
      </c>
      <c r="AO38">
        <v>83</v>
      </c>
      <c r="AP38">
        <v>35</v>
      </c>
      <c r="AQ38">
        <v>175.47592427452801</v>
      </c>
      <c r="BA38">
        <v>60</v>
      </c>
      <c r="BB38">
        <v>35</v>
      </c>
      <c r="BC38">
        <v>1.2656663733312701</v>
      </c>
      <c r="BD38">
        <f t="shared" si="0"/>
        <v>0.23559876081798126</v>
      </c>
      <c r="BM38">
        <v>66</v>
      </c>
      <c r="BN38">
        <v>35</v>
      </c>
      <c r="BO38">
        <v>0.83895201240129402</v>
      </c>
      <c r="BY38">
        <v>69</v>
      </c>
      <c r="BZ38">
        <v>38</v>
      </c>
      <c r="CA38">
        <v>1.1275589010726801</v>
      </c>
      <c r="CK38">
        <v>95</v>
      </c>
      <c r="CL38">
        <v>35</v>
      </c>
      <c r="CM38">
        <v>2.9692156844279798</v>
      </c>
      <c r="CW38">
        <v>60</v>
      </c>
      <c r="CX38" s="1">
        <v>0.74188197315272697</v>
      </c>
      <c r="CY38" s="1">
        <v>2.5454545454545401</v>
      </c>
      <c r="EG38">
        <v>10</v>
      </c>
      <c r="EH38" s="1">
        <v>1.6964970459034301</v>
      </c>
      <c r="EI38" s="1">
        <v>1.50467289719626</v>
      </c>
      <c r="ES38" s="72">
        <v>10</v>
      </c>
      <c r="ET38" s="74">
        <v>1.6964970459034301</v>
      </c>
      <c r="EU38" s="74">
        <v>1.50467289719626</v>
      </c>
      <c r="GK38" s="91" t="s">
        <v>435</v>
      </c>
      <c r="GL38" s="91">
        <v>2675</v>
      </c>
      <c r="GN38">
        <v>5</v>
      </c>
    </row>
    <row r="39" spans="1:196" x14ac:dyDescent="0.3">
      <c r="A39">
        <v>86</v>
      </c>
      <c r="B39" t="s">
        <v>42</v>
      </c>
      <c r="C39">
        <v>211</v>
      </c>
      <c r="D39">
        <v>254</v>
      </c>
      <c r="E39">
        <v>43</v>
      </c>
      <c r="F39">
        <v>3.73712</v>
      </c>
      <c r="G39">
        <v>365.6</v>
      </c>
      <c r="H39">
        <v>428.5</v>
      </c>
      <c r="I39">
        <v>62.9</v>
      </c>
      <c r="J39">
        <v>4.3662599999999996</v>
      </c>
      <c r="K39">
        <v>1.3569199999999999</v>
      </c>
      <c r="X39" s="60">
        <v>38</v>
      </c>
      <c r="Y39" s="61" t="s">
        <v>40</v>
      </c>
      <c r="Z39" s="61">
        <v>0</v>
      </c>
      <c r="AA39" s="61">
        <v>0</v>
      </c>
      <c r="AB39" s="61">
        <v>0</v>
      </c>
      <c r="AC39" s="61">
        <v>0</v>
      </c>
      <c r="AD39" s="61">
        <v>12.4</v>
      </c>
      <c r="AE39" s="61">
        <v>23</v>
      </c>
      <c r="AF39" s="61">
        <v>10.6</v>
      </c>
      <c r="AG39" s="61">
        <v>1.1219600000000001</v>
      </c>
      <c r="AH39" s="61" t="s">
        <v>245</v>
      </c>
      <c r="AI39" s="61">
        <f>IF(Table15[[#This Row],[Set]]="Zeta", -2, -20)</f>
        <v>-20</v>
      </c>
      <c r="AO39">
        <v>71</v>
      </c>
      <c r="AP39">
        <v>36</v>
      </c>
      <c r="AQ39">
        <v>190.063147401067</v>
      </c>
      <c r="BA39">
        <v>15</v>
      </c>
      <c r="BB39">
        <v>36</v>
      </c>
      <c r="BC39">
        <v>1.3016814776563099</v>
      </c>
      <c r="BD39">
        <f t="shared" si="0"/>
        <v>0.26365687303996516</v>
      </c>
      <c r="BM39">
        <v>90</v>
      </c>
      <c r="BN39">
        <v>36</v>
      </c>
      <c r="BO39">
        <v>0.84301853076782896</v>
      </c>
      <c r="BY39">
        <v>87</v>
      </c>
      <c r="BZ39">
        <v>39</v>
      </c>
      <c r="CA39">
        <v>1.1859527754741701</v>
      </c>
      <c r="CK39">
        <v>63</v>
      </c>
      <c r="CL39">
        <v>36</v>
      </c>
      <c r="CM39">
        <v>3.1840236711562202</v>
      </c>
      <c r="CW39">
        <v>15</v>
      </c>
      <c r="CX39" s="1">
        <v>0.70432789243838301</v>
      </c>
      <c r="CY39" s="1">
        <v>2.6754716981132001</v>
      </c>
      <c r="EG39">
        <v>40</v>
      </c>
      <c r="EH39" s="1">
        <v>1.7780308680017001</v>
      </c>
      <c r="EI39" s="1">
        <v>1.47674418604651</v>
      </c>
      <c r="ES39">
        <v>40</v>
      </c>
      <c r="ET39" s="73">
        <v>1.7780308680017001</v>
      </c>
      <c r="EU39" s="73">
        <v>1.47674418604651</v>
      </c>
      <c r="GK39" s="88" t="s">
        <v>430</v>
      </c>
      <c r="GL39" s="88">
        <v>55.1</v>
      </c>
      <c r="GN39">
        <v>5</v>
      </c>
    </row>
    <row r="40" spans="1:196" x14ac:dyDescent="0.3">
      <c r="A40">
        <v>78</v>
      </c>
      <c r="B40" t="s">
        <v>42</v>
      </c>
      <c r="C40">
        <v>81</v>
      </c>
      <c r="D40">
        <v>97</v>
      </c>
      <c r="E40">
        <v>16</v>
      </c>
      <c r="F40">
        <v>3.8452199999999999</v>
      </c>
      <c r="G40">
        <v>82.4</v>
      </c>
      <c r="H40">
        <v>168.4</v>
      </c>
      <c r="I40">
        <v>86</v>
      </c>
      <c r="J40">
        <v>0.96977000000000002</v>
      </c>
      <c r="K40" t="s">
        <v>245</v>
      </c>
      <c r="X40" s="60">
        <v>69</v>
      </c>
      <c r="Y40" s="61" t="s">
        <v>41</v>
      </c>
      <c r="Z40" s="61">
        <v>21</v>
      </c>
      <c r="AA40" s="61">
        <v>21</v>
      </c>
      <c r="AB40" s="61">
        <v>0</v>
      </c>
      <c r="AC40" s="61">
        <v>0</v>
      </c>
      <c r="AD40" s="61">
        <v>53.7</v>
      </c>
      <c r="AE40" s="61">
        <v>99.3</v>
      </c>
      <c r="AF40" s="61">
        <v>45.6</v>
      </c>
      <c r="AG40" s="61">
        <v>1.1275599999999999</v>
      </c>
      <c r="AH40" s="61" t="s">
        <v>245</v>
      </c>
      <c r="AI40" s="61">
        <f>IF(Table15[[#This Row],[Set]]="Zeta", -2, -20)</f>
        <v>-20</v>
      </c>
      <c r="AO40">
        <v>68</v>
      </c>
      <c r="AP40">
        <v>37</v>
      </c>
      <c r="AQ40">
        <v>190.632762137047</v>
      </c>
      <c r="BA40">
        <v>31</v>
      </c>
      <c r="BB40">
        <v>37</v>
      </c>
      <c r="BC40">
        <v>1.31567679390593</v>
      </c>
      <c r="BD40">
        <f t="shared" si="0"/>
        <v>0.27435120540324137</v>
      </c>
      <c r="BM40">
        <v>71</v>
      </c>
      <c r="BN40">
        <v>37</v>
      </c>
      <c r="BO40">
        <v>0.85007805331612796</v>
      </c>
      <c r="BY40">
        <v>58</v>
      </c>
      <c r="BZ40">
        <v>40</v>
      </c>
      <c r="CA40">
        <v>1.2386126258466601</v>
      </c>
      <c r="CK40">
        <v>68</v>
      </c>
      <c r="CL40">
        <v>37</v>
      </c>
      <c r="CM40">
        <v>3.2768082671672301</v>
      </c>
      <c r="CW40">
        <v>31</v>
      </c>
      <c r="CX40" s="1">
        <v>0.69086586625928403</v>
      </c>
      <c r="CY40" s="1">
        <v>2.72727272727272</v>
      </c>
      <c r="EG40">
        <v>41</v>
      </c>
      <c r="EH40" s="1">
        <v>1.8360039553221701</v>
      </c>
      <c r="EI40" s="1">
        <v>1.45867768595041</v>
      </c>
      <c r="ES40" s="72">
        <v>41</v>
      </c>
      <c r="ET40" s="74">
        <v>1.8360039553221701</v>
      </c>
      <c r="EU40" s="74">
        <v>1.45867768595041</v>
      </c>
      <c r="GK40" s="87" t="s">
        <v>431</v>
      </c>
      <c r="GL40" s="87">
        <v>333</v>
      </c>
      <c r="GN40">
        <v>10</v>
      </c>
    </row>
    <row r="41" spans="1:196" x14ac:dyDescent="0.3">
      <c r="A41">
        <v>100</v>
      </c>
      <c r="B41" t="s">
        <v>42</v>
      </c>
      <c r="C41">
        <v>221</v>
      </c>
      <c r="D41">
        <v>256</v>
      </c>
      <c r="E41">
        <v>35</v>
      </c>
      <c r="F41">
        <v>4.7148099999999999</v>
      </c>
      <c r="G41">
        <v>450.6</v>
      </c>
      <c r="H41">
        <v>606.5</v>
      </c>
      <c r="I41">
        <v>155.9</v>
      </c>
      <c r="J41">
        <v>2.3328500000000001</v>
      </c>
      <c r="K41">
        <v>25.76042</v>
      </c>
      <c r="X41" s="60">
        <v>87</v>
      </c>
      <c r="Y41" s="61" t="s">
        <v>41</v>
      </c>
      <c r="Z41" s="61">
        <v>101</v>
      </c>
      <c r="AA41" s="61">
        <v>103</v>
      </c>
      <c r="AB41" s="61">
        <v>2</v>
      </c>
      <c r="AC41" s="61">
        <v>35.34937</v>
      </c>
      <c r="AD41" s="61">
        <v>100.5</v>
      </c>
      <c r="AE41" s="61">
        <v>180.3</v>
      </c>
      <c r="AF41" s="61">
        <v>79.8</v>
      </c>
      <c r="AG41" s="61">
        <v>1.1859500000000001</v>
      </c>
      <c r="AH41" s="61">
        <v>1.2912600000000001</v>
      </c>
      <c r="AI41" s="61">
        <f>IF(Table15[[#This Row],[Set]]="Zeta", -2, -20)</f>
        <v>-20</v>
      </c>
      <c r="AO41">
        <v>77</v>
      </c>
      <c r="AP41">
        <v>38</v>
      </c>
      <c r="AQ41">
        <v>191.483680766795</v>
      </c>
      <c r="BA41">
        <v>23</v>
      </c>
      <c r="BB41">
        <v>38</v>
      </c>
      <c r="BC41">
        <v>1.4362176698864899</v>
      </c>
      <c r="BD41">
        <f t="shared" si="0"/>
        <v>0.36201303983973709</v>
      </c>
      <c r="BM41">
        <v>100</v>
      </c>
      <c r="BN41">
        <v>38</v>
      </c>
      <c r="BO41">
        <v>0.85270456077647305</v>
      </c>
      <c r="BY41">
        <v>24</v>
      </c>
      <c r="BZ41">
        <v>41</v>
      </c>
      <c r="CA41">
        <v>1.2555454209550201</v>
      </c>
      <c r="CK41">
        <v>77</v>
      </c>
      <c r="CL41">
        <v>38</v>
      </c>
      <c r="CM41">
        <v>3.75465903074095</v>
      </c>
      <c r="CW41">
        <v>23</v>
      </c>
      <c r="CX41" s="1">
        <v>0.59516115757053301</v>
      </c>
      <c r="CY41" s="1">
        <v>3.2047619047619</v>
      </c>
      <c r="EG41">
        <v>13</v>
      </c>
      <c r="EH41" s="1">
        <v>2.0022247538746898</v>
      </c>
      <c r="EI41" s="1">
        <v>1.4136690647482</v>
      </c>
      <c r="ES41">
        <v>13</v>
      </c>
      <c r="ET41" s="73">
        <v>2.0022247538746898</v>
      </c>
      <c r="EU41" s="73">
        <v>1.4136690647482</v>
      </c>
      <c r="GK41" s="88" t="s">
        <v>432</v>
      </c>
      <c r="GL41" s="92">
        <f>GL40/GL39</f>
        <v>6.0435571687840293</v>
      </c>
      <c r="GN41" s="92">
        <f>GN40/GN39</f>
        <v>2</v>
      </c>
    </row>
    <row r="42" spans="1:196" x14ac:dyDescent="0.3">
      <c r="A42">
        <v>93</v>
      </c>
      <c r="B42" t="s">
        <v>42</v>
      </c>
      <c r="C42">
        <v>199</v>
      </c>
      <c r="D42">
        <v>230</v>
      </c>
      <c r="E42">
        <v>31</v>
      </c>
      <c r="F42">
        <v>4.7877700000000001</v>
      </c>
      <c r="G42">
        <v>290.8</v>
      </c>
      <c r="H42">
        <v>378.9</v>
      </c>
      <c r="I42">
        <v>88.1</v>
      </c>
      <c r="J42">
        <v>2.61924</v>
      </c>
      <c r="K42">
        <v>2.91289</v>
      </c>
      <c r="X42" s="60">
        <v>58</v>
      </c>
      <c r="Y42" s="61" t="s">
        <v>40</v>
      </c>
      <c r="Z42" s="61">
        <v>0</v>
      </c>
      <c r="AA42" s="61">
        <v>0</v>
      </c>
      <c r="AB42" s="61">
        <v>0</v>
      </c>
      <c r="AC42" s="61">
        <v>0</v>
      </c>
      <c r="AD42" s="61">
        <v>82.8</v>
      </c>
      <c r="AE42" s="61">
        <v>144.9</v>
      </c>
      <c r="AF42" s="61">
        <v>62.1</v>
      </c>
      <c r="AG42" s="61">
        <v>1.23861</v>
      </c>
      <c r="AH42" s="61" t="s">
        <v>245</v>
      </c>
      <c r="AI42" s="61">
        <f>IF(Table15[[#This Row],[Set]]="Zeta", -2, -20)</f>
        <v>-20</v>
      </c>
      <c r="AO42">
        <v>91</v>
      </c>
      <c r="AP42">
        <v>39</v>
      </c>
      <c r="AQ42">
        <v>198.07145175415801</v>
      </c>
      <c r="BA42">
        <v>42</v>
      </c>
      <c r="BB42">
        <v>39</v>
      </c>
      <c r="BC42">
        <v>1.45528723260684</v>
      </c>
      <c r="BD42">
        <f t="shared" si="0"/>
        <v>0.37520329186687296</v>
      </c>
      <c r="BM42">
        <v>74</v>
      </c>
      <c r="BN42">
        <v>39</v>
      </c>
      <c r="BO42">
        <v>0.85596726952393198</v>
      </c>
      <c r="BY42">
        <v>34</v>
      </c>
      <c r="BZ42">
        <v>42</v>
      </c>
      <c r="CA42">
        <v>1.33098921793891</v>
      </c>
      <c r="CK42">
        <v>70</v>
      </c>
      <c r="CL42">
        <v>39</v>
      </c>
      <c r="CM42">
        <v>3.8084673440058698</v>
      </c>
      <c r="CW42">
        <v>42</v>
      </c>
      <c r="CX42" s="1">
        <v>0.58268028285003703</v>
      </c>
      <c r="CY42" s="1">
        <v>3.2857142857142798</v>
      </c>
      <c r="EG42">
        <v>20</v>
      </c>
      <c r="EH42" s="1">
        <v>2.05813092065369</v>
      </c>
      <c r="EI42" s="1">
        <v>1.4004376367614799</v>
      </c>
      <c r="ES42" s="72">
        <v>20</v>
      </c>
      <c r="ET42" s="74">
        <v>2.05813092065369</v>
      </c>
      <c r="EU42" s="74">
        <v>1.4004376367614799</v>
      </c>
      <c r="GK42" s="87" t="s">
        <v>433</v>
      </c>
      <c r="GL42" s="93">
        <f>LN(GL41)</f>
        <v>1.798992773821575</v>
      </c>
      <c r="GN42" s="93">
        <f>LN(GN41)</f>
        <v>0.69314718055994529</v>
      </c>
    </row>
    <row r="43" spans="1:196" x14ac:dyDescent="0.3">
      <c r="A43">
        <v>97</v>
      </c>
      <c r="B43" t="s">
        <v>41</v>
      </c>
      <c r="C43">
        <v>47</v>
      </c>
      <c r="D43">
        <v>54</v>
      </c>
      <c r="E43">
        <v>7</v>
      </c>
      <c r="F43">
        <v>4.99254</v>
      </c>
      <c r="G43">
        <v>105.7</v>
      </c>
      <c r="H43">
        <v>166.7</v>
      </c>
      <c r="I43">
        <v>61</v>
      </c>
      <c r="J43">
        <v>1.52142</v>
      </c>
      <c r="K43" t="s">
        <v>245</v>
      </c>
      <c r="X43" s="60">
        <v>24</v>
      </c>
      <c r="Y43" s="61" t="s">
        <v>40</v>
      </c>
      <c r="Z43" s="61">
        <v>0</v>
      </c>
      <c r="AA43" s="61">
        <v>0</v>
      </c>
      <c r="AB43" s="61">
        <v>0</v>
      </c>
      <c r="AC43" s="61">
        <v>0</v>
      </c>
      <c r="AD43" s="61">
        <v>5.7</v>
      </c>
      <c r="AE43" s="61">
        <v>9.9</v>
      </c>
      <c r="AF43" s="61">
        <v>4.2</v>
      </c>
      <c r="AG43" s="61">
        <v>1.2555499999999999</v>
      </c>
      <c r="AH43" s="61" t="s">
        <v>245</v>
      </c>
      <c r="AI43" s="61">
        <f>IF(Table15[[#This Row],[Set]]="Zeta", -2, -20)</f>
        <v>-20</v>
      </c>
      <c r="AO43">
        <v>81</v>
      </c>
      <c r="AP43">
        <v>40</v>
      </c>
      <c r="AQ43">
        <v>201.69278618730999</v>
      </c>
      <c r="BA43">
        <v>12</v>
      </c>
      <c r="BB43">
        <v>40</v>
      </c>
      <c r="BC43">
        <v>1.48345810957353</v>
      </c>
      <c r="BD43">
        <f t="shared" si="0"/>
        <v>0.39437592278586586</v>
      </c>
      <c r="BM43">
        <v>79</v>
      </c>
      <c r="BN43">
        <v>40</v>
      </c>
      <c r="BO43">
        <v>0.86358486536190204</v>
      </c>
      <c r="BY43">
        <v>33</v>
      </c>
      <c r="BZ43">
        <v>43</v>
      </c>
      <c r="CA43">
        <v>1.3534766599671799</v>
      </c>
      <c r="CK43">
        <v>61</v>
      </c>
      <c r="CL43">
        <v>40</v>
      </c>
      <c r="CM43">
        <v>4.0334369756325703</v>
      </c>
      <c r="CW43">
        <v>12</v>
      </c>
      <c r="CX43" s="1">
        <v>0.56529289898435398</v>
      </c>
      <c r="CY43" s="1">
        <v>3.4081632653061198</v>
      </c>
      <c r="DU43" s="69"/>
      <c r="DV43" s="69"/>
      <c r="DW43" s="69"/>
      <c r="EG43">
        <v>36</v>
      </c>
      <c r="EH43" s="1">
        <v>2.9902603714766598</v>
      </c>
      <c r="EI43" s="1">
        <v>1.26086956521739</v>
      </c>
      <c r="ES43">
        <v>36</v>
      </c>
      <c r="ET43" s="73">
        <v>2.9902603714766598</v>
      </c>
      <c r="EU43" s="73">
        <v>1.26086956521739</v>
      </c>
      <c r="GK43" s="88" t="s">
        <v>434</v>
      </c>
      <c r="GL43" s="92">
        <f>GL38*LN(2)</f>
        <v>1854.1687079978537</v>
      </c>
      <c r="GN43" s="92">
        <f>GN38*LN(2)</f>
        <v>3.4657359027997265</v>
      </c>
    </row>
    <row r="44" spans="1:196" x14ac:dyDescent="0.3">
      <c r="A44">
        <v>82</v>
      </c>
      <c r="B44" t="s">
        <v>42</v>
      </c>
      <c r="C44">
        <v>191</v>
      </c>
      <c r="D44">
        <v>218</v>
      </c>
      <c r="E44">
        <v>27</v>
      </c>
      <c r="F44">
        <v>5.2423099999999998</v>
      </c>
      <c r="G44">
        <v>233.8</v>
      </c>
      <c r="H44">
        <v>345.8</v>
      </c>
      <c r="I44">
        <v>112</v>
      </c>
      <c r="J44">
        <v>1.7709699999999999</v>
      </c>
      <c r="K44">
        <v>1.9989399999999999</v>
      </c>
      <c r="X44" s="60">
        <v>34</v>
      </c>
      <c r="Y44" s="61" t="s">
        <v>40</v>
      </c>
      <c r="Z44" s="61">
        <v>0</v>
      </c>
      <c r="AA44" s="61">
        <v>0</v>
      </c>
      <c r="AB44" s="61">
        <v>0</v>
      </c>
      <c r="AC44" s="61">
        <v>0</v>
      </c>
      <c r="AD44" s="61">
        <v>24</v>
      </c>
      <c r="AE44" s="61">
        <v>40.4</v>
      </c>
      <c r="AF44" s="61">
        <v>16.399999999999999</v>
      </c>
      <c r="AG44" s="61">
        <v>1.3309899999999999</v>
      </c>
      <c r="AH44" s="61" t="s">
        <v>245</v>
      </c>
      <c r="AI44" s="61">
        <f>IF(Table15[[#This Row],[Set]]="Zeta", -2, -20)</f>
        <v>-20</v>
      </c>
      <c r="AO44">
        <v>2</v>
      </c>
      <c r="AP44">
        <v>41</v>
      </c>
      <c r="AQ44">
        <v>202.52965215</v>
      </c>
      <c r="BA44">
        <v>9</v>
      </c>
      <c r="BB44">
        <v>41</v>
      </c>
      <c r="BC44">
        <v>1.49231255519668</v>
      </c>
      <c r="BD44">
        <f t="shared" si="0"/>
        <v>0.40032696723938693</v>
      </c>
      <c r="BM44">
        <v>98</v>
      </c>
      <c r="BN44">
        <v>41</v>
      </c>
      <c r="BO44">
        <v>0.86434031225432095</v>
      </c>
      <c r="BY44">
        <v>7</v>
      </c>
      <c r="BZ44">
        <v>44</v>
      </c>
      <c r="CA44">
        <v>1.36576860051204</v>
      </c>
      <c r="CK44">
        <v>73</v>
      </c>
      <c r="CL44">
        <v>41</v>
      </c>
      <c r="CM44">
        <v>4.3470310224889204</v>
      </c>
      <c r="CW44">
        <v>9</v>
      </c>
      <c r="CX44" s="1">
        <v>0.56006862334195295</v>
      </c>
      <c r="CY44" s="1">
        <v>3.4473684210526301</v>
      </c>
      <c r="EG44">
        <v>8</v>
      </c>
      <c r="EH44" s="1">
        <v>3.0239042243240601</v>
      </c>
      <c r="EI44" s="1">
        <v>1.2576219512195099</v>
      </c>
      <c r="ES44" s="72">
        <v>8</v>
      </c>
      <c r="ET44" s="74">
        <v>3.0239042243240601</v>
      </c>
      <c r="EU44" s="74">
        <v>1.2576219512195099</v>
      </c>
      <c r="GK44" s="87" t="s">
        <v>436</v>
      </c>
      <c r="GL44" s="93">
        <f>GL43/GL42</f>
        <v>1030.6704590364025</v>
      </c>
      <c r="GN44" s="93">
        <f>GN43/GN42</f>
        <v>5</v>
      </c>
    </row>
    <row r="45" spans="1:196" x14ac:dyDescent="0.3">
      <c r="A45">
        <v>85</v>
      </c>
      <c r="B45" t="s">
        <v>42</v>
      </c>
      <c r="C45">
        <v>222</v>
      </c>
      <c r="D45">
        <v>253</v>
      </c>
      <c r="E45">
        <v>31</v>
      </c>
      <c r="F45">
        <v>5.3028500000000003</v>
      </c>
      <c r="G45">
        <v>244.9</v>
      </c>
      <c r="H45">
        <v>357.9</v>
      </c>
      <c r="I45">
        <v>113</v>
      </c>
      <c r="J45">
        <v>1.82694</v>
      </c>
      <c r="K45">
        <v>0.92898000000000003</v>
      </c>
      <c r="X45" s="60">
        <v>33</v>
      </c>
      <c r="Y45" s="61" t="s">
        <v>40</v>
      </c>
      <c r="Z45" s="61">
        <v>0</v>
      </c>
      <c r="AA45" s="61">
        <v>0</v>
      </c>
      <c r="AB45" s="61">
        <v>0</v>
      </c>
      <c r="AC45" s="61">
        <v>0</v>
      </c>
      <c r="AD45" s="61">
        <v>15.4</v>
      </c>
      <c r="AE45" s="61">
        <v>25.7</v>
      </c>
      <c r="AF45" s="61">
        <v>10.3</v>
      </c>
      <c r="AG45" s="61">
        <v>1.35348</v>
      </c>
      <c r="AH45" s="61" t="s">
        <v>245</v>
      </c>
      <c r="AI45" s="61">
        <f>IF(Table15[[#This Row],[Set]]="Zeta", -2, -20)</f>
        <v>-20</v>
      </c>
      <c r="AO45">
        <v>94</v>
      </c>
      <c r="AP45">
        <v>42</v>
      </c>
      <c r="AQ45">
        <v>207.00362315669699</v>
      </c>
      <c r="BA45">
        <v>25</v>
      </c>
      <c r="BB45">
        <v>42</v>
      </c>
      <c r="BC45">
        <v>1.5127935096166301</v>
      </c>
      <c r="BD45">
        <f t="shared" si="0"/>
        <v>0.41395794804131952</v>
      </c>
      <c r="BM45">
        <v>57</v>
      </c>
      <c r="BN45">
        <v>42</v>
      </c>
      <c r="BO45">
        <v>0.86760615875070002</v>
      </c>
      <c r="BY45">
        <v>46</v>
      </c>
      <c r="BZ45">
        <v>45</v>
      </c>
      <c r="CA45">
        <v>1.4011571585570699</v>
      </c>
      <c r="CK45">
        <v>86</v>
      </c>
      <c r="CL45">
        <v>42</v>
      </c>
      <c r="CM45">
        <v>4.3662567411801296</v>
      </c>
      <c r="CW45">
        <v>25</v>
      </c>
      <c r="CX45" s="1">
        <v>0.54839523675007995</v>
      </c>
      <c r="CY45" s="1">
        <v>3.5393939393939302</v>
      </c>
      <c r="EG45">
        <v>44</v>
      </c>
      <c r="EH45" s="1">
        <v>4.7048940953586698</v>
      </c>
      <c r="EI45" s="1">
        <v>1.15873015873015</v>
      </c>
      <c r="ES45">
        <v>44</v>
      </c>
      <c r="ET45" s="73">
        <v>4.7048940953586698</v>
      </c>
      <c r="EU45" s="73">
        <v>1.15873015873015</v>
      </c>
      <c r="GK45" s="89" t="s">
        <v>437</v>
      </c>
      <c r="GL45" s="94">
        <f>GL44/365.25</f>
        <v>2.8218219275466185</v>
      </c>
      <c r="GN45" s="94">
        <f>GN44</f>
        <v>5</v>
      </c>
    </row>
    <row r="46" spans="1:196" x14ac:dyDescent="0.3">
      <c r="A46">
        <v>88</v>
      </c>
      <c r="B46" t="s">
        <v>42</v>
      </c>
      <c r="C46">
        <v>88</v>
      </c>
      <c r="D46">
        <v>100</v>
      </c>
      <c r="E46">
        <v>12</v>
      </c>
      <c r="F46">
        <v>5.4222700000000001</v>
      </c>
      <c r="G46">
        <v>238.5</v>
      </c>
      <c r="H46">
        <v>307.3</v>
      </c>
      <c r="I46">
        <v>68.8</v>
      </c>
      <c r="J46">
        <v>2.7347899999999998</v>
      </c>
      <c r="K46" t="s">
        <v>245</v>
      </c>
      <c r="X46" s="60">
        <v>7</v>
      </c>
      <c r="Y46" s="61" t="s">
        <v>40</v>
      </c>
      <c r="Z46" s="61">
        <v>0</v>
      </c>
      <c r="AA46" s="61">
        <v>0</v>
      </c>
      <c r="AB46" s="61">
        <v>0</v>
      </c>
      <c r="AC46" s="61">
        <v>0</v>
      </c>
      <c r="AD46" s="61">
        <v>48.4</v>
      </c>
      <c r="AE46" s="61">
        <v>80.400000000000006</v>
      </c>
      <c r="AF46" s="61">
        <v>32</v>
      </c>
      <c r="AG46" s="61">
        <v>1.3657699999999999</v>
      </c>
      <c r="AH46" s="61" t="s">
        <v>245</v>
      </c>
      <c r="AI46" s="61">
        <f>IF(Table15[[#This Row],[Set]]="Zeta", -2, -20)</f>
        <v>-20</v>
      </c>
      <c r="AO46">
        <v>98</v>
      </c>
      <c r="AP46">
        <v>43</v>
      </c>
      <c r="AQ46">
        <v>234.73928090543299</v>
      </c>
      <c r="BA46">
        <v>3</v>
      </c>
      <c r="BB46">
        <v>43</v>
      </c>
      <c r="BC46">
        <v>1.5193448689070601</v>
      </c>
      <c r="BD46">
        <f t="shared" si="0"/>
        <v>0.41827923464985511</v>
      </c>
      <c r="BM46">
        <v>20</v>
      </c>
      <c r="BN46">
        <v>43</v>
      </c>
      <c r="BO46">
        <v>0.87565106938102499</v>
      </c>
      <c r="BY46">
        <v>47</v>
      </c>
      <c r="BZ46">
        <v>46</v>
      </c>
      <c r="CA46">
        <v>1.4934633087510301</v>
      </c>
      <c r="CK46">
        <v>91</v>
      </c>
      <c r="CL46">
        <v>43</v>
      </c>
      <c r="CM46">
        <v>4.5355219587329003</v>
      </c>
      <c r="CW46">
        <v>3</v>
      </c>
      <c r="CX46" s="1">
        <v>0.54477708579998796</v>
      </c>
      <c r="CY46" s="1">
        <v>3.5692307692307601</v>
      </c>
      <c r="EG46">
        <v>6</v>
      </c>
      <c r="EH46" s="1">
        <v>5.4883738584803696</v>
      </c>
      <c r="EI46" s="1">
        <v>1.1346153846153799</v>
      </c>
      <c r="ES46" s="72">
        <v>6</v>
      </c>
      <c r="ET46" s="74">
        <v>5.4883738584803696</v>
      </c>
      <c r="EU46" s="74">
        <v>1.1346153846153799</v>
      </c>
    </row>
    <row r="47" spans="1:196" x14ac:dyDescent="0.3">
      <c r="A47">
        <v>83</v>
      </c>
      <c r="B47" t="s">
        <v>42</v>
      </c>
      <c r="C47">
        <v>217</v>
      </c>
      <c r="D47">
        <v>245</v>
      </c>
      <c r="E47">
        <v>28</v>
      </c>
      <c r="F47">
        <v>5.7114599999999998</v>
      </c>
      <c r="G47">
        <v>169</v>
      </c>
      <c r="H47">
        <v>182.2</v>
      </c>
      <c r="I47">
        <v>13.2</v>
      </c>
      <c r="J47">
        <v>9.2166099999999993</v>
      </c>
      <c r="K47" t="s">
        <v>245</v>
      </c>
      <c r="X47" s="60">
        <v>46</v>
      </c>
      <c r="Y47" s="61" t="s">
        <v>40</v>
      </c>
      <c r="Z47" s="61">
        <v>0</v>
      </c>
      <c r="AA47" s="61">
        <v>0</v>
      </c>
      <c r="AB47" s="61">
        <v>0</v>
      </c>
      <c r="AC47" s="61">
        <v>0</v>
      </c>
      <c r="AD47" s="61">
        <v>20</v>
      </c>
      <c r="AE47" s="61">
        <v>32.799999999999997</v>
      </c>
      <c r="AF47" s="61">
        <v>12.8</v>
      </c>
      <c r="AG47" s="61">
        <v>1.40116</v>
      </c>
      <c r="AH47" s="61" t="s">
        <v>245</v>
      </c>
      <c r="AI47" s="61">
        <f>IF(Table15[[#This Row],[Set]]="Zeta", -2, -20)</f>
        <v>-20</v>
      </c>
      <c r="AO47">
        <v>88</v>
      </c>
      <c r="AP47">
        <v>44</v>
      </c>
      <c r="AQ47">
        <v>270.72319811940702</v>
      </c>
      <c r="BA47">
        <v>48</v>
      </c>
      <c r="BB47">
        <v>44</v>
      </c>
      <c r="BC47">
        <v>1.59122800105467</v>
      </c>
      <c r="BD47">
        <f t="shared" si="0"/>
        <v>0.46450604584790905</v>
      </c>
      <c r="BM47">
        <v>94</v>
      </c>
      <c r="BN47">
        <v>44</v>
      </c>
      <c r="BO47">
        <v>0.87580220566559097</v>
      </c>
      <c r="BY47">
        <v>5</v>
      </c>
      <c r="BZ47">
        <v>47</v>
      </c>
      <c r="CA47">
        <v>1.4952285205156799</v>
      </c>
      <c r="CK47">
        <v>80</v>
      </c>
      <c r="CL47">
        <v>44</v>
      </c>
      <c r="CM47">
        <v>4.9993848679869499</v>
      </c>
      <c r="CW47">
        <v>48</v>
      </c>
      <c r="CX47" s="1">
        <v>0.50836634313100004</v>
      </c>
      <c r="CY47" s="1">
        <v>3.90977443609022</v>
      </c>
      <c r="EG47">
        <v>27</v>
      </c>
      <c r="EH47" s="1">
        <v>7.0702154994970599</v>
      </c>
      <c r="EI47" s="1">
        <v>1.1030042918454901</v>
      </c>
      <c r="ES47">
        <v>27</v>
      </c>
      <c r="ET47" s="73">
        <v>7.0702154994970599</v>
      </c>
      <c r="EU47" s="73">
        <v>1.1030042918454901</v>
      </c>
    </row>
    <row r="48" spans="1:196" x14ac:dyDescent="0.3">
      <c r="A48">
        <v>95</v>
      </c>
      <c r="B48" t="s">
        <v>39</v>
      </c>
      <c r="C48">
        <v>175</v>
      </c>
      <c r="D48">
        <v>193</v>
      </c>
      <c r="E48">
        <v>18</v>
      </c>
      <c r="F48">
        <v>7.0798500000000004</v>
      </c>
      <c r="G48">
        <v>73.400000000000006</v>
      </c>
      <c r="H48">
        <v>92.7</v>
      </c>
      <c r="I48">
        <v>19.3</v>
      </c>
      <c r="J48">
        <v>2.96922</v>
      </c>
      <c r="K48" t="s">
        <v>245</v>
      </c>
      <c r="X48" s="60">
        <v>47</v>
      </c>
      <c r="Y48" s="61" t="s">
        <v>40</v>
      </c>
      <c r="Z48" s="61">
        <v>0</v>
      </c>
      <c r="AA48" s="61">
        <v>0</v>
      </c>
      <c r="AB48" s="61">
        <v>0</v>
      </c>
      <c r="AC48" s="61">
        <v>0</v>
      </c>
      <c r="AD48" s="61">
        <v>61.8</v>
      </c>
      <c r="AE48" s="61">
        <v>98.3</v>
      </c>
      <c r="AF48" s="61">
        <v>36.5</v>
      </c>
      <c r="AG48" s="61">
        <v>1.49346</v>
      </c>
      <c r="AH48" s="61" t="s">
        <v>245</v>
      </c>
      <c r="AI48" s="61">
        <f>IF(Table15[[#This Row],[Set]]="Zeta", -2, -20)</f>
        <v>-20</v>
      </c>
      <c r="AO48">
        <v>92</v>
      </c>
      <c r="AP48">
        <v>45</v>
      </c>
      <c r="AQ48">
        <v>284.00758792680102</v>
      </c>
      <c r="BA48">
        <v>30</v>
      </c>
      <c r="BB48">
        <v>45</v>
      </c>
      <c r="BC48">
        <v>1.6053893239081001</v>
      </c>
      <c r="BD48">
        <f t="shared" si="0"/>
        <v>0.4733662965799223</v>
      </c>
      <c r="BM48">
        <v>13</v>
      </c>
      <c r="BN48">
        <v>45</v>
      </c>
      <c r="BO48">
        <v>0.88114802328104402</v>
      </c>
      <c r="BY48">
        <v>97</v>
      </c>
      <c r="BZ48">
        <v>48</v>
      </c>
      <c r="CA48">
        <v>1.5214245616098601</v>
      </c>
      <c r="CK48">
        <v>62</v>
      </c>
      <c r="CL48">
        <v>45</v>
      </c>
      <c r="CM48">
        <v>5.3231125207409598</v>
      </c>
      <c r="CW48">
        <v>30</v>
      </c>
      <c r="CX48" s="1">
        <v>0.50183289462069203</v>
      </c>
      <c r="CY48" s="1">
        <v>3.9797979797979699</v>
      </c>
      <c r="EG48">
        <v>45</v>
      </c>
      <c r="EH48" s="1">
        <v>13.513407333964899</v>
      </c>
      <c r="EI48" s="1">
        <v>1.0526315789473599</v>
      </c>
      <c r="ES48" s="72">
        <v>45</v>
      </c>
      <c r="ET48" s="74">
        <v>13.513407333964899</v>
      </c>
      <c r="EU48" s="74">
        <v>1.0526315789473599</v>
      </c>
    </row>
    <row r="49" spans="1:151" x14ac:dyDescent="0.3">
      <c r="A49">
        <v>64</v>
      </c>
      <c r="B49" t="s">
        <v>41</v>
      </c>
      <c r="C49">
        <v>63</v>
      </c>
      <c r="D49">
        <v>67</v>
      </c>
      <c r="E49">
        <v>4</v>
      </c>
      <c r="F49">
        <v>11.26009</v>
      </c>
      <c r="G49">
        <v>53.3</v>
      </c>
      <c r="H49">
        <v>104.7</v>
      </c>
      <c r="I49">
        <v>51.4</v>
      </c>
      <c r="J49">
        <v>1.02664</v>
      </c>
      <c r="K49" t="s">
        <v>245</v>
      </c>
      <c r="X49" s="60">
        <v>5</v>
      </c>
      <c r="Y49" s="61" t="s">
        <v>40</v>
      </c>
      <c r="Z49" s="61">
        <v>0</v>
      </c>
      <c r="AA49" s="61">
        <v>0</v>
      </c>
      <c r="AB49" s="61">
        <v>0</v>
      </c>
      <c r="AC49" s="61">
        <v>0</v>
      </c>
      <c r="AD49" s="61">
        <v>15.6</v>
      </c>
      <c r="AE49" s="61">
        <v>24.8</v>
      </c>
      <c r="AF49" s="61">
        <v>9.1999999999999993</v>
      </c>
      <c r="AG49" s="61">
        <v>1.4952300000000001</v>
      </c>
      <c r="AH49" s="61" t="s">
        <v>245</v>
      </c>
      <c r="AI49" s="61">
        <f>IF(Table15[[#This Row],[Set]]="Zeta", -2, -20)</f>
        <v>-20</v>
      </c>
      <c r="AO49">
        <v>82</v>
      </c>
      <c r="AP49">
        <v>46</v>
      </c>
      <c r="AQ49">
        <v>284.33789757962199</v>
      </c>
      <c r="BA49">
        <v>22</v>
      </c>
      <c r="BB49">
        <v>46</v>
      </c>
      <c r="BC49">
        <v>1.6094379124341001</v>
      </c>
      <c r="BD49">
        <f t="shared" si="0"/>
        <v>0.47588499532711043</v>
      </c>
      <c r="BM49">
        <v>65</v>
      </c>
      <c r="BN49">
        <v>46</v>
      </c>
      <c r="BO49">
        <v>0.88626703285245201</v>
      </c>
      <c r="BY49">
        <v>29</v>
      </c>
      <c r="BZ49">
        <v>49</v>
      </c>
      <c r="CA49">
        <v>1.5840298982876999</v>
      </c>
      <c r="CK49">
        <v>67</v>
      </c>
      <c r="CL49">
        <v>46</v>
      </c>
      <c r="CM49">
        <v>7.1455288125570897</v>
      </c>
      <c r="CW49">
        <v>22</v>
      </c>
      <c r="CX49" s="1">
        <v>0.5</v>
      </c>
      <c r="CY49" s="1">
        <v>4</v>
      </c>
      <c r="EG49" t="s">
        <v>372</v>
      </c>
      <c r="EH49" s="1"/>
      <c r="EI49" s="1"/>
      <c r="ES49" t="s">
        <v>372</v>
      </c>
      <c r="ET49" s="1"/>
      <c r="EU49" s="1"/>
    </row>
    <row r="50" spans="1:151" x14ac:dyDescent="0.3">
      <c r="A50">
        <v>91</v>
      </c>
      <c r="B50" t="s">
        <v>41</v>
      </c>
      <c r="C50">
        <v>119</v>
      </c>
      <c r="D50">
        <v>124</v>
      </c>
      <c r="E50">
        <v>5</v>
      </c>
      <c r="F50">
        <v>16.841100000000001</v>
      </c>
      <c r="G50">
        <v>183.5</v>
      </c>
      <c r="H50">
        <v>213.8</v>
      </c>
      <c r="I50">
        <v>30.3</v>
      </c>
      <c r="J50">
        <v>4.53552</v>
      </c>
      <c r="K50" t="s">
        <v>245</v>
      </c>
      <c r="X50" s="60">
        <v>97</v>
      </c>
      <c r="Y50" s="61" t="s">
        <v>41</v>
      </c>
      <c r="Z50" s="61">
        <v>47</v>
      </c>
      <c r="AA50" s="61">
        <v>54</v>
      </c>
      <c r="AB50" s="61">
        <v>7</v>
      </c>
      <c r="AC50" s="61">
        <v>4.99254</v>
      </c>
      <c r="AD50" s="61">
        <v>105.7</v>
      </c>
      <c r="AE50" s="61">
        <v>166.7</v>
      </c>
      <c r="AF50" s="61">
        <v>61</v>
      </c>
      <c r="AG50" s="61">
        <v>1.52142</v>
      </c>
      <c r="AH50" s="61" t="s">
        <v>245</v>
      </c>
      <c r="AI50" s="61">
        <f>IF(Table15[[#This Row],[Set]]="Zeta", -2, -20)</f>
        <v>-20</v>
      </c>
      <c r="AO50">
        <v>72</v>
      </c>
      <c r="AP50">
        <v>47</v>
      </c>
      <c r="AQ50">
        <v>295.55067247428099</v>
      </c>
      <c r="BA50">
        <v>37</v>
      </c>
      <c r="BB50">
        <v>47</v>
      </c>
      <c r="BC50">
        <v>1.68808103975321</v>
      </c>
      <c r="BD50">
        <f t="shared" si="0"/>
        <v>0.52359240435382459</v>
      </c>
      <c r="BM50">
        <v>49</v>
      </c>
      <c r="BN50">
        <v>47</v>
      </c>
      <c r="BO50">
        <v>0.89026221476610301</v>
      </c>
      <c r="BY50">
        <v>21</v>
      </c>
      <c r="BZ50">
        <v>50</v>
      </c>
      <c r="CA50">
        <v>1.6216092786808101</v>
      </c>
      <c r="CK50">
        <v>2</v>
      </c>
      <c r="CL50">
        <v>47</v>
      </c>
      <c r="CM50">
        <v>7.4303579280153196</v>
      </c>
      <c r="CW50">
        <v>37</v>
      </c>
      <c r="CX50" s="1">
        <v>0.46718466342889597</v>
      </c>
      <c r="CY50" s="1">
        <v>4.4090909090909003</v>
      </c>
      <c r="EG50" t="s">
        <v>373</v>
      </c>
      <c r="EH50" s="1"/>
      <c r="EI50" s="1"/>
      <c r="ES50" t="s">
        <v>373</v>
      </c>
      <c r="ET50" s="1"/>
      <c r="EU50" s="1"/>
    </row>
    <row r="51" spans="1:151" x14ac:dyDescent="0.3">
      <c r="A51">
        <v>90</v>
      </c>
      <c r="B51" t="s">
        <v>42</v>
      </c>
      <c r="C51">
        <v>388</v>
      </c>
      <c r="D51">
        <v>400</v>
      </c>
      <c r="E51">
        <v>12</v>
      </c>
      <c r="F51">
        <v>22.75657</v>
      </c>
      <c r="G51">
        <v>147.19999999999999</v>
      </c>
      <c r="H51">
        <v>194.8</v>
      </c>
      <c r="I51">
        <v>47.6</v>
      </c>
      <c r="J51">
        <v>2.4739200000000001</v>
      </c>
      <c r="K51" t="s">
        <v>245</v>
      </c>
      <c r="X51" s="60">
        <v>29</v>
      </c>
      <c r="Y51" s="61" t="s">
        <v>40</v>
      </c>
      <c r="Z51" s="61">
        <v>0</v>
      </c>
      <c r="AA51" s="61">
        <v>0</v>
      </c>
      <c r="AB51" s="61">
        <v>0</v>
      </c>
      <c r="AC51" s="61">
        <v>0</v>
      </c>
      <c r="AD51" s="61">
        <v>101.1</v>
      </c>
      <c r="AE51" s="61">
        <v>156.6</v>
      </c>
      <c r="AF51" s="61">
        <v>55.5</v>
      </c>
      <c r="AG51" s="61">
        <v>1.58403</v>
      </c>
      <c r="AH51" s="61" t="s">
        <v>245</v>
      </c>
      <c r="AI51" s="61">
        <f>IF(Table15[[#This Row],[Set]]="Zeta", -2, -20)</f>
        <v>-20</v>
      </c>
      <c r="AO51">
        <v>85</v>
      </c>
      <c r="AP51">
        <v>48</v>
      </c>
      <c r="AQ51">
        <v>296.05693709149898</v>
      </c>
      <c r="BA51">
        <v>4</v>
      </c>
      <c r="BB51">
        <v>48</v>
      </c>
      <c r="BC51">
        <v>1.8009761243329701</v>
      </c>
      <c r="BD51">
        <f t="shared" si="0"/>
        <v>0.58832880921142594</v>
      </c>
      <c r="BM51">
        <v>99</v>
      </c>
      <c r="BN51">
        <v>48</v>
      </c>
      <c r="BO51">
        <v>0.89318460388390397</v>
      </c>
      <c r="BY51">
        <v>59</v>
      </c>
      <c r="BZ51">
        <v>51</v>
      </c>
      <c r="CA51">
        <v>1.6401470001692</v>
      </c>
      <c r="CK51">
        <v>75</v>
      </c>
      <c r="CL51">
        <v>48</v>
      </c>
      <c r="CM51">
        <v>7.9733175890349104</v>
      </c>
      <c r="CW51">
        <v>4</v>
      </c>
      <c r="CX51" s="1">
        <v>0.42773984632091899</v>
      </c>
      <c r="CY51" s="1">
        <v>5.05555555555555</v>
      </c>
      <c r="EG51" t="s">
        <v>374</v>
      </c>
      <c r="EH51" s="1"/>
      <c r="EI51" s="1"/>
      <c r="ES51" t="s">
        <v>374</v>
      </c>
      <c r="ET51" s="1"/>
      <c r="EU51" s="1"/>
    </row>
    <row r="52" spans="1:151" x14ac:dyDescent="0.3">
      <c r="A52">
        <v>87</v>
      </c>
      <c r="B52" t="s">
        <v>41</v>
      </c>
      <c r="C52">
        <v>101</v>
      </c>
      <c r="D52">
        <v>103</v>
      </c>
      <c r="E52">
        <v>2</v>
      </c>
      <c r="F52">
        <v>35.34937</v>
      </c>
      <c r="G52">
        <v>100.5</v>
      </c>
      <c r="H52">
        <v>180.3</v>
      </c>
      <c r="I52">
        <v>79.8</v>
      </c>
      <c r="J52">
        <v>1.1859500000000001</v>
      </c>
      <c r="K52">
        <v>1.2912600000000001</v>
      </c>
      <c r="X52" s="60">
        <v>21</v>
      </c>
      <c r="Y52" s="61" t="s">
        <v>40</v>
      </c>
      <c r="Z52" s="61">
        <v>0</v>
      </c>
      <c r="AA52" s="61">
        <v>0</v>
      </c>
      <c r="AB52" s="61">
        <v>0</v>
      </c>
      <c r="AC52" s="61">
        <v>0</v>
      </c>
      <c r="AD52" s="61">
        <v>13.5</v>
      </c>
      <c r="AE52" s="61">
        <v>20.7</v>
      </c>
      <c r="AF52" s="61">
        <v>7.2</v>
      </c>
      <c r="AG52" s="61">
        <v>1.62161</v>
      </c>
      <c r="AH52" s="61" t="s">
        <v>245</v>
      </c>
      <c r="AI52" s="61">
        <f>IF(Table15[[#This Row],[Set]]="Zeta", -2, -20)</f>
        <v>-20</v>
      </c>
      <c r="AO52">
        <v>96</v>
      </c>
      <c r="AP52">
        <v>49</v>
      </c>
      <c r="AQ52">
        <v>315.68921425984701</v>
      </c>
      <c r="BA52" t="s">
        <v>140</v>
      </c>
      <c r="BM52">
        <v>41</v>
      </c>
      <c r="BN52">
        <v>49</v>
      </c>
      <c r="BO52">
        <v>0.89962367938894305</v>
      </c>
      <c r="BY52">
        <v>96</v>
      </c>
      <c r="BZ52">
        <v>52</v>
      </c>
      <c r="CA52">
        <v>1.6475077626477199</v>
      </c>
      <c r="CK52">
        <v>83</v>
      </c>
      <c r="CL52">
        <v>49</v>
      </c>
      <c r="CM52">
        <v>9.2166142723996796</v>
      </c>
      <c r="CW52" t="s">
        <v>140</v>
      </c>
      <c r="EG52" t="s">
        <v>375</v>
      </c>
      <c r="ES52" t="s">
        <v>375</v>
      </c>
      <c r="ET52" s="1"/>
      <c r="EU52" s="1"/>
    </row>
    <row r="53" spans="1:151" x14ac:dyDescent="0.3">
      <c r="A53">
        <v>92</v>
      </c>
      <c r="B53" t="s">
        <v>41</v>
      </c>
      <c r="C53">
        <v>295</v>
      </c>
      <c r="D53">
        <v>300</v>
      </c>
      <c r="E53">
        <v>5</v>
      </c>
      <c r="F53">
        <v>41.241289999999999</v>
      </c>
      <c r="G53">
        <v>252.3</v>
      </c>
      <c r="H53">
        <v>319.7</v>
      </c>
      <c r="I53">
        <v>67.400000000000006</v>
      </c>
      <c r="J53">
        <v>2.9275799999999998</v>
      </c>
      <c r="K53" t="s">
        <v>245</v>
      </c>
      <c r="X53" s="60">
        <v>59</v>
      </c>
      <c r="Y53" s="61" t="s">
        <v>41</v>
      </c>
      <c r="Z53" s="61">
        <v>37</v>
      </c>
      <c r="AA53" s="61">
        <v>37</v>
      </c>
      <c r="AB53" s="61">
        <v>0</v>
      </c>
      <c r="AC53" s="61">
        <v>0</v>
      </c>
      <c r="AD53" s="61">
        <v>42.4</v>
      </c>
      <c r="AE53" s="61">
        <v>64.7</v>
      </c>
      <c r="AF53" s="61">
        <v>22.3</v>
      </c>
      <c r="AG53" s="61">
        <v>1.64015</v>
      </c>
      <c r="AH53" s="61" t="s">
        <v>245</v>
      </c>
      <c r="AI53" s="61">
        <f>IF(Table15[[#This Row],[Set]]="Zeta", -2, -20)</f>
        <v>-20</v>
      </c>
      <c r="AO53">
        <v>93</v>
      </c>
      <c r="AP53">
        <v>50</v>
      </c>
      <c r="AQ53">
        <v>331.93993432547398</v>
      </c>
      <c r="BA53" t="s">
        <v>305</v>
      </c>
      <c r="BM53">
        <v>85</v>
      </c>
      <c r="BN53">
        <v>50</v>
      </c>
      <c r="BO53">
        <v>0.90073550279421799</v>
      </c>
      <c r="BY53">
        <v>81</v>
      </c>
      <c r="BZ53">
        <v>53</v>
      </c>
      <c r="CA53">
        <v>1.6703211594615599</v>
      </c>
      <c r="CK53">
        <v>54</v>
      </c>
      <c r="CL53">
        <v>50</v>
      </c>
      <c r="CM53">
        <v>12.8393587195095</v>
      </c>
      <c r="CW53" t="s">
        <v>336</v>
      </c>
      <c r="EG53" t="s">
        <v>376</v>
      </c>
      <c r="ES53" t="s">
        <v>376</v>
      </c>
      <c r="ET53" s="1"/>
      <c r="EU53" s="1"/>
    </row>
    <row r="54" spans="1:151" x14ac:dyDescent="0.3">
      <c r="A54">
        <v>81</v>
      </c>
      <c r="B54" t="s">
        <v>41</v>
      </c>
      <c r="C54">
        <v>80</v>
      </c>
      <c r="D54">
        <v>81</v>
      </c>
      <c r="E54">
        <v>1</v>
      </c>
      <c r="F54">
        <v>55.797629999999998</v>
      </c>
      <c r="G54">
        <v>163.9</v>
      </c>
      <c r="H54">
        <v>248.2</v>
      </c>
      <c r="I54">
        <v>84.3</v>
      </c>
      <c r="J54">
        <v>1.67032</v>
      </c>
      <c r="K54" t="s">
        <v>245</v>
      </c>
      <c r="X54" s="60">
        <v>96</v>
      </c>
      <c r="Y54" s="61" t="s">
        <v>42</v>
      </c>
      <c r="Z54" s="61">
        <v>556</v>
      </c>
      <c r="AA54" s="61">
        <v>768</v>
      </c>
      <c r="AB54" s="61">
        <v>212</v>
      </c>
      <c r="AC54" s="61">
        <v>2.1458200000000001</v>
      </c>
      <c r="AD54" s="61">
        <v>255.8</v>
      </c>
      <c r="AE54" s="61">
        <v>389.6</v>
      </c>
      <c r="AF54" s="61">
        <v>133.80000000000001</v>
      </c>
      <c r="AG54" s="61">
        <v>1.64751</v>
      </c>
      <c r="AH54" s="61">
        <v>0.90454000000000001</v>
      </c>
      <c r="AI54" s="61">
        <f>IF(Table15[[#This Row],[Set]]="Zeta", -2, -20)</f>
        <v>-20</v>
      </c>
      <c r="AO54">
        <v>86</v>
      </c>
      <c r="AP54">
        <v>51</v>
      </c>
      <c r="AQ54">
        <v>395.80247599023397</v>
      </c>
      <c r="BA54" t="s">
        <v>306</v>
      </c>
      <c r="BM54">
        <v>40</v>
      </c>
      <c r="BN54">
        <v>51</v>
      </c>
      <c r="BO54">
        <v>0.90694486945591701</v>
      </c>
      <c r="BY54">
        <v>10</v>
      </c>
      <c r="BZ54">
        <v>54</v>
      </c>
      <c r="CA54">
        <v>1.6964970459034301</v>
      </c>
      <c r="CK54">
        <v>55</v>
      </c>
      <c r="CL54">
        <v>51</v>
      </c>
      <c r="CM54">
        <v>15.116624378043699</v>
      </c>
      <c r="CW54" t="s">
        <v>337</v>
      </c>
      <c r="EG54" t="s">
        <v>377</v>
      </c>
      <c r="ES54" t="s">
        <v>377</v>
      </c>
      <c r="ET54" s="1"/>
      <c r="EU54" s="1"/>
    </row>
    <row r="55" spans="1:151" x14ac:dyDescent="0.3">
      <c r="X55" s="60">
        <v>81</v>
      </c>
      <c r="Y55" s="61" t="s">
        <v>41</v>
      </c>
      <c r="Z55" s="61">
        <v>80</v>
      </c>
      <c r="AA55" s="61">
        <v>81</v>
      </c>
      <c r="AB55" s="61">
        <v>1</v>
      </c>
      <c r="AC55" s="61">
        <v>55.797629999999998</v>
      </c>
      <c r="AD55" s="61">
        <v>163.9</v>
      </c>
      <c r="AE55" s="61">
        <v>248.2</v>
      </c>
      <c r="AF55" s="61">
        <v>84.3</v>
      </c>
      <c r="AG55" s="61">
        <v>1.67032</v>
      </c>
      <c r="AH55" s="61" t="s">
        <v>245</v>
      </c>
      <c r="AI55" s="61">
        <f>IF(Table15[[#This Row],[Set]]="Zeta", -2, -20)</f>
        <v>-20</v>
      </c>
      <c r="AO55">
        <v>100</v>
      </c>
      <c r="AP55">
        <v>52</v>
      </c>
      <c r="AQ55">
        <v>522.77040849688501</v>
      </c>
      <c r="BA55" t="s">
        <v>307</v>
      </c>
      <c r="BM55">
        <v>82</v>
      </c>
      <c r="BN55">
        <v>52</v>
      </c>
      <c r="BO55">
        <v>0.90787216140855898</v>
      </c>
      <c r="BY55">
        <v>82</v>
      </c>
      <c r="BZ55">
        <v>55</v>
      </c>
      <c r="CA55">
        <v>1.77096800717088</v>
      </c>
      <c r="CK55">
        <v>72</v>
      </c>
      <c r="CL55">
        <v>52</v>
      </c>
      <c r="CM55">
        <v>18.969584471277301</v>
      </c>
      <c r="CW55" t="s">
        <v>338</v>
      </c>
      <c r="DI55" s="69"/>
      <c r="DJ55" s="69"/>
      <c r="DK55" s="69"/>
      <c r="EG55" t="s">
        <v>378</v>
      </c>
      <c r="ES55" t="s">
        <v>378</v>
      </c>
      <c r="ET55" s="1"/>
      <c r="EU55" s="1"/>
    </row>
    <row r="56" spans="1:151" x14ac:dyDescent="0.3">
      <c r="X56" s="60">
        <v>10</v>
      </c>
      <c r="Y56" s="61" t="s">
        <v>40</v>
      </c>
      <c r="Z56" s="61">
        <v>0</v>
      </c>
      <c r="AA56" s="61">
        <v>0</v>
      </c>
      <c r="AB56" s="61">
        <v>0</v>
      </c>
      <c r="AC56" s="61">
        <v>0</v>
      </c>
      <c r="AD56" s="61">
        <v>42.8</v>
      </c>
      <c r="AE56" s="61">
        <v>64.400000000000006</v>
      </c>
      <c r="AF56" s="61">
        <v>21.6</v>
      </c>
      <c r="AG56" s="61">
        <v>1.6964999999999999</v>
      </c>
      <c r="AH56" s="61" t="s">
        <v>245</v>
      </c>
      <c r="AI56" s="61">
        <f>IF(Table15[[#This Row],[Set]]="Zeta", -2, -20)</f>
        <v>-20</v>
      </c>
      <c r="AO56" t="s">
        <v>140</v>
      </c>
      <c r="AR56" t="s">
        <v>281</v>
      </c>
      <c r="AS56" t="s">
        <v>282</v>
      </c>
      <c r="AT56" t="s">
        <v>283</v>
      </c>
      <c r="AU56" t="s">
        <v>284</v>
      </c>
      <c r="AV56" t="s">
        <v>285</v>
      </c>
      <c r="AW56" t="s">
        <v>286</v>
      </c>
      <c r="BA56" t="s">
        <v>308</v>
      </c>
      <c r="BM56">
        <v>10</v>
      </c>
      <c r="BN56">
        <v>53</v>
      </c>
      <c r="BO56">
        <v>0.91815814604894996</v>
      </c>
      <c r="BY56">
        <v>40</v>
      </c>
      <c r="BZ56">
        <v>56</v>
      </c>
      <c r="CA56">
        <v>1.7780308680017001</v>
      </c>
      <c r="CK56" t="s">
        <v>140</v>
      </c>
      <c r="CW56" t="s">
        <v>339</v>
      </c>
      <c r="EG56" t="s">
        <v>379</v>
      </c>
      <c r="ES56" t="s">
        <v>379</v>
      </c>
      <c r="ET56" s="1"/>
      <c r="EU56" s="1"/>
    </row>
    <row r="57" spans="1:151" x14ac:dyDescent="0.3">
      <c r="X57" s="60">
        <v>82</v>
      </c>
      <c r="Y57" s="61" t="s">
        <v>42</v>
      </c>
      <c r="Z57" s="61">
        <v>191</v>
      </c>
      <c r="AA57" s="61">
        <v>218</v>
      </c>
      <c r="AB57" s="61">
        <v>27</v>
      </c>
      <c r="AC57" s="61">
        <v>5.2423099999999998</v>
      </c>
      <c r="AD57" s="61">
        <v>233.8</v>
      </c>
      <c r="AE57" s="61">
        <v>345.8</v>
      </c>
      <c r="AF57" s="61">
        <v>112</v>
      </c>
      <c r="AG57" s="61">
        <v>1.7709699999999999</v>
      </c>
      <c r="AH57" s="61">
        <v>1.9989399999999999</v>
      </c>
      <c r="AI57" s="61">
        <f>IF(Table15[[#This Row],[Set]]="Zeta", -2, -20)</f>
        <v>-20</v>
      </c>
      <c r="AO57" t="s">
        <v>293</v>
      </c>
      <c r="AR57">
        <v>0.59299999999999997</v>
      </c>
      <c r="AS57">
        <v>0.18099999999999999</v>
      </c>
      <c r="AT57">
        <v>1.4E-2</v>
      </c>
      <c r="AU57">
        <v>-1.7100000000000001E-2</v>
      </c>
      <c r="AV57">
        <v>2.0419999999999998</v>
      </c>
      <c r="AW57">
        <v>0.29163725000000001</v>
      </c>
      <c r="BA57" t="s">
        <v>309</v>
      </c>
      <c r="BM57">
        <v>81</v>
      </c>
      <c r="BN57">
        <v>54</v>
      </c>
      <c r="BO57">
        <v>0.92200955259498696</v>
      </c>
      <c r="BY57">
        <v>85</v>
      </c>
      <c r="BZ57">
        <v>57</v>
      </c>
      <c r="CA57">
        <v>1.82693860112379</v>
      </c>
      <c r="CK57" t="s">
        <v>324</v>
      </c>
      <c r="CW57" t="s">
        <v>340</v>
      </c>
      <c r="EG57" t="s">
        <v>380</v>
      </c>
      <c r="ES57" s="69" t="s">
        <v>380</v>
      </c>
      <c r="ET57" s="70"/>
      <c r="EU57" s="70"/>
    </row>
    <row r="58" spans="1:151" x14ac:dyDescent="0.3">
      <c r="X58" s="60">
        <v>40</v>
      </c>
      <c r="Y58" s="61" t="s">
        <v>40</v>
      </c>
      <c r="Z58" s="61">
        <v>0</v>
      </c>
      <c r="AA58" s="61">
        <v>0</v>
      </c>
      <c r="AB58" s="61">
        <v>0</v>
      </c>
      <c r="AC58" s="61">
        <v>0</v>
      </c>
      <c r="AD58" s="61">
        <v>17.2</v>
      </c>
      <c r="AE58" s="61">
        <v>25.4</v>
      </c>
      <c r="AF58" s="61">
        <v>8.1999999999999993</v>
      </c>
      <c r="AG58" s="61">
        <v>1.77803</v>
      </c>
      <c r="AH58" s="61" t="s">
        <v>245</v>
      </c>
      <c r="AI58" s="61">
        <f>IF(Table15[[#This Row],[Set]]="Zeta", -2, -20)</f>
        <v>-20</v>
      </c>
      <c r="AO58" t="s">
        <v>294</v>
      </c>
      <c r="AR58">
        <v>0.57999999999999996</v>
      </c>
      <c r="AS58">
        <v>0.90700000000000003</v>
      </c>
      <c r="AT58">
        <v>2.5000000000000001E-2</v>
      </c>
      <c r="AU58">
        <v>-3.8600000000000002E-2</v>
      </c>
      <c r="AV58">
        <v>2.7389999999999999</v>
      </c>
      <c r="AW58">
        <v>3.2129890000000001E-2</v>
      </c>
      <c r="BA58" t="s">
        <v>310</v>
      </c>
      <c r="BM58">
        <v>96</v>
      </c>
      <c r="BN58">
        <v>55</v>
      </c>
      <c r="BO58">
        <v>0.92547439047311897</v>
      </c>
      <c r="BY58">
        <v>41</v>
      </c>
      <c r="BZ58">
        <v>58</v>
      </c>
      <c r="CA58">
        <v>1.8360039553221701</v>
      </c>
      <c r="CK58" t="s">
        <v>325</v>
      </c>
      <c r="CW58" t="s">
        <v>341</v>
      </c>
    </row>
    <row r="59" spans="1:151" x14ac:dyDescent="0.3">
      <c r="X59" s="60">
        <v>85</v>
      </c>
      <c r="Y59" s="61" t="s">
        <v>42</v>
      </c>
      <c r="Z59" s="61">
        <v>222</v>
      </c>
      <c r="AA59" s="61">
        <v>253</v>
      </c>
      <c r="AB59" s="61">
        <v>31</v>
      </c>
      <c r="AC59" s="61">
        <v>5.3028500000000003</v>
      </c>
      <c r="AD59" s="61">
        <v>244.9</v>
      </c>
      <c r="AE59" s="61">
        <v>357.9</v>
      </c>
      <c r="AF59" s="61">
        <v>113</v>
      </c>
      <c r="AG59" s="61">
        <v>1.82694</v>
      </c>
      <c r="AH59" s="61">
        <v>0.92898000000000003</v>
      </c>
      <c r="AI59" s="61">
        <f>IF(Table15[[#This Row],[Set]]="Zeta", -2, -20)</f>
        <v>-20</v>
      </c>
      <c r="AO59" t="s">
        <v>295</v>
      </c>
      <c r="AR59">
        <v>0.57899999999999996</v>
      </c>
      <c r="AS59">
        <v>0.91700000000000004</v>
      </c>
      <c r="AT59">
        <v>2.1000000000000001E-2</v>
      </c>
      <c r="AU59">
        <v>-3.39E-2</v>
      </c>
      <c r="AV59">
        <v>2.9159999999999999</v>
      </c>
      <c r="AW59">
        <v>2.4944060000000001E-2</v>
      </c>
      <c r="BA59" t="s">
        <v>311</v>
      </c>
      <c r="BM59">
        <v>59</v>
      </c>
      <c r="BN59">
        <v>56</v>
      </c>
      <c r="BO59">
        <v>0.92661461521579103</v>
      </c>
      <c r="BY59">
        <v>99</v>
      </c>
      <c r="BZ59">
        <v>59</v>
      </c>
      <c r="CA59">
        <v>1.8904726185289</v>
      </c>
      <c r="CK59" t="s">
        <v>326</v>
      </c>
      <c r="CW59" t="s">
        <v>342</v>
      </c>
    </row>
    <row r="60" spans="1:151" x14ac:dyDescent="0.3">
      <c r="X60" s="60">
        <v>41</v>
      </c>
      <c r="Y60" s="61" t="s">
        <v>40</v>
      </c>
      <c r="Z60" s="61">
        <v>0</v>
      </c>
      <c r="AA60" s="61">
        <v>0</v>
      </c>
      <c r="AB60" s="61">
        <v>0</v>
      </c>
      <c r="AC60" s="61">
        <v>0</v>
      </c>
      <c r="AD60" s="61">
        <v>24.2</v>
      </c>
      <c r="AE60" s="61">
        <v>35.299999999999997</v>
      </c>
      <c r="AF60" s="61">
        <v>11.1</v>
      </c>
      <c r="AG60" s="61">
        <v>1.8360000000000001</v>
      </c>
      <c r="AH60" s="61" t="s">
        <v>245</v>
      </c>
      <c r="AI60" s="61">
        <f>IF(Table15[[#This Row],[Set]]="Zeta", -2, -20)</f>
        <v>-20</v>
      </c>
      <c r="AO60" t="s">
        <v>296</v>
      </c>
      <c r="AR60">
        <v>0.69099999999999995</v>
      </c>
      <c r="AS60">
        <v>0.98499999999999999</v>
      </c>
      <c r="AT60">
        <v>0.19700000000000001</v>
      </c>
      <c r="AU60">
        <v>-0.27129999999999999</v>
      </c>
      <c r="AV60">
        <v>1.087</v>
      </c>
      <c r="AW60">
        <v>1.641515E-2</v>
      </c>
      <c r="BA60" t="s">
        <v>312</v>
      </c>
      <c r="BM60">
        <v>21</v>
      </c>
      <c r="BN60">
        <v>57</v>
      </c>
      <c r="BO60">
        <v>0.92953595862417504</v>
      </c>
      <c r="BY60">
        <v>49</v>
      </c>
      <c r="BZ60">
        <v>60</v>
      </c>
      <c r="CA60">
        <v>1.91635893552736</v>
      </c>
      <c r="CK60" t="s">
        <v>327</v>
      </c>
      <c r="CW60" t="s">
        <v>343</v>
      </c>
    </row>
    <row r="61" spans="1:151" x14ac:dyDescent="0.3">
      <c r="X61" s="60">
        <v>99</v>
      </c>
      <c r="Y61" s="61" t="s">
        <v>42</v>
      </c>
      <c r="Z61" s="61">
        <v>194</v>
      </c>
      <c r="AA61" s="61">
        <v>272</v>
      </c>
      <c r="AB61" s="61">
        <v>78</v>
      </c>
      <c r="AC61" s="61">
        <v>2.0510700000000002</v>
      </c>
      <c r="AD61" s="61">
        <v>71.8</v>
      </c>
      <c r="AE61" s="61">
        <v>103.6</v>
      </c>
      <c r="AF61" s="61">
        <v>31.8</v>
      </c>
      <c r="AG61" s="61">
        <v>1.8904700000000001</v>
      </c>
      <c r="AH61" s="61" t="s">
        <v>245</v>
      </c>
      <c r="AI61" s="61">
        <f>IF(Table15[[#This Row],[Set]]="Zeta", -2, -20)</f>
        <v>-20</v>
      </c>
      <c r="AO61" t="s">
        <v>297</v>
      </c>
      <c r="AR61">
        <v>0.625</v>
      </c>
      <c r="AS61">
        <v>1.2110000000000001</v>
      </c>
      <c r="AT61">
        <v>0.08</v>
      </c>
      <c r="AU61">
        <v>-0.1222</v>
      </c>
      <c r="AV61">
        <v>1.446</v>
      </c>
      <c r="AW61">
        <v>4.6689499999999998E-3</v>
      </c>
      <c r="BA61" t="s">
        <v>313</v>
      </c>
      <c r="BM61">
        <v>29</v>
      </c>
      <c r="BN61">
        <v>58</v>
      </c>
      <c r="BO61">
        <v>0.93568599163189303</v>
      </c>
      <c r="BY61">
        <v>65</v>
      </c>
      <c r="BZ61">
        <v>61</v>
      </c>
      <c r="CA61">
        <v>1.9530068344379501</v>
      </c>
      <c r="CK61" t="s">
        <v>328</v>
      </c>
      <c r="CW61" t="s">
        <v>344</v>
      </c>
    </row>
    <row r="62" spans="1:151" x14ac:dyDescent="0.3">
      <c r="X62" s="60">
        <v>49</v>
      </c>
      <c r="Y62" s="61" t="s">
        <v>41</v>
      </c>
      <c r="Z62" s="61">
        <v>0</v>
      </c>
      <c r="AA62" s="61">
        <v>2</v>
      </c>
      <c r="AB62" s="61">
        <v>2</v>
      </c>
      <c r="AC62" s="61">
        <v>0</v>
      </c>
      <c r="AD62" s="61">
        <v>39.700000000000003</v>
      </c>
      <c r="AE62" s="61">
        <v>57</v>
      </c>
      <c r="AF62" s="61">
        <v>17.3</v>
      </c>
      <c r="AG62" s="61">
        <v>1.9163600000000001</v>
      </c>
      <c r="AH62" s="61" t="s">
        <v>245</v>
      </c>
      <c r="AI62" s="61">
        <f>IF(Table15[[#This Row],[Set]]="Zeta", -2, -20)</f>
        <v>-20</v>
      </c>
      <c r="AO62" t="s">
        <v>298</v>
      </c>
      <c r="AR62">
        <v>0.72199999999999998</v>
      </c>
      <c r="AS62">
        <v>1.9490000000000001</v>
      </c>
      <c r="AT62">
        <v>0.29599999999999999</v>
      </c>
      <c r="AU62">
        <v>-0.40089999999999998</v>
      </c>
      <c r="AV62">
        <v>1.0089999999999999</v>
      </c>
      <c r="AW62">
        <v>3.1479400000000001E-3</v>
      </c>
      <c r="BM62">
        <v>97</v>
      </c>
      <c r="BN62">
        <v>59</v>
      </c>
      <c r="BO62">
        <v>0.94666668139916499</v>
      </c>
      <c r="BY62">
        <v>13</v>
      </c>
      <c r="BZ62">
        <v>62</v>
      </c>
      <c r="CA62">
        <v>2.0022247538746898</v>
      </c>
      <c r="CK62" t="s">
        <v>329</v>
      </c>
    </row>
    <row r="63" spans="1:151" x14ac:dyDescent="0.3">
      <c r="X63" s="60">
        <v>65</v>
      </c>
      <c r="Y63" s="61" t="s">
        <v>39</v>
      </c>
      <c r="Z63" s="61">
        <v>1</v>
      </c>
      <c r="AA63" s="61">
        <v>0</v>
      </c>
      <c r="AB63" s="61">
        <v>-1</v>
      </c>
      <c r="AC63" s="61">
        <v>0</v>
      </c>
      <c r="AD63" s="61">
        <v>113.6</v>
      </c>
      <c r="AE63" s="61">
        <v>162</v>
      </c>
      <c r="AF63" s="61">
        <v>48.4</v>
      </c>
      <c r="AG63" s="61">
        <v>1.9530099999999999</v>
      </c>
      <c r="AH63" s="61" t="s">
        <v>245</v>
      </c>
      <c r="AI63" s="61">
        <f>IF(Table15[[#This Row],[Set]]="Zeta", -2, -20)</f>
        <v>-2</v>
      </c>
      <c r="AO63" t="s">
        <v>299</v>
      </c>
      <c r="AR63">
        <v>0.64900000000000002</v>
      </c>
      <c r="AS63">
        <v>2.548</v>
      </c>
      <c r="AT63">
        <v>8.7999999999999995E-2</v>
      </c>
      <c r="AU63">
        <v>-0.13469999999999999</v>
      </c>
      <c r="AV63">
        <v>1.262</v>
      </c>
      <c r="AW63">
        <v>2.2400000000000002E-6</v>
      </c>
      <c r="BM63">
        <v>5</v>
      </c>
      <c r="BN63">
        <v>60</v>
      </c>
      <c r="BO63">
        <v>0.95155887071161305</v>
      </c>
      <c r="BY63">
        <v>94</v>
      </c>
      <c r="BZ63">
        <v>63</v>
      </c>
      <c r="CA63">
        <v>2.0565490951229899</v>
      </c>
      <c r="CK63" t="s">
        <v>330</v>
      </c>
    </row>
    <row r="64" spans="1:151" x14ac:dyDescent="0.3">
      <c r="X64" s="60">
        <v>13</v>
      </c>
      <c r="Y64" s="61" t="s">
        <v>40</v>
      </c>
      <c r="Z64" s="61">
        <v>0</v>
      </c>
      <c r="AA64" s="61">
        <v>0</v>
      </c>
      <c r="AB64" s="61">
        <v>0</v>
      </c>
      <c r="AC64" s="61">
        <v>0</v>
      </c>
      <c r="AD64" s="61">
        <v>27.8</v>
      </c>
      <c r="AE64" s="61">
        <v>39.299999999999997</v>
      </c>
      <c r="AF64" s="61">
        <v>11.5</v>
      </c>
      <c r="AG64" s="61">
        <v>2.0022199999999999</v>
      </c>
      <c r="AH64" s="61" t="s">
        <v>245</v>
      </c>
      <c r="AI64" s="61">
        <f>IF(Table15[[#This Row],[Set]]="Zeta", -2, -20)</f>
        <v>-20</v>
      </c>
      <c r="AO64" t="s">
        <v>300</v>
      </c>
      <c r="AR64">
        <v>0.59899999999999998</v>
      </c>
      <c r="AS64">
        <v>1.7789999999999999</v>
      </c>
      <c r="AT64">
        <v>5.2999999999999999E-2</v>
      </c>
      <c r="AU64">
        <v>-8.7900000000000006E-2</v>
      </c>
      <c r="AV64">
        <v>1.8720000000000001</v>
      </c>
      <c r="AW64">
        <v>0</v>
      </c>
      <c r="BM64">
        <v>47</v>
      </c>
      <c r="BN64">
        <v>61</v>
      </c>
      <c r="BO64">
        <v>0.95189525553902399</v>
      </c>
      <c r="BY64">
        <v>20</v>
      </c>
      <c r="BZ64">
        <v>64</v>
      </c>
      <c r="CA64">
        <v>2.05813092065369</v>
      </c>
      <c r="CK64" t="s">
        <v>331</v>
      </c>
    </row>
    <row r="65" spans="24:89" x14ac:dyDescent="0.3">
      <c r="X65" s="60">
        <v>94</v>
      </c>
      <c r="Y65" s="61" t="s">
        <v>39</v>
      </c>
      <c r="Z65" s="61">
        <v>291</v>
      </c>
      <c r="AA65" s="61">
        <v>351</v>
      </c>
      <c r="AB65" s="61">
        <v>60</v>
      </c>
      <c r="AC65" s="61">
        <v>3.6975199999999999</v>
      </c>
      <c r="AD65" s="61">
        <v>174.9</v>
      </c>
      <c r="AE65" s="61">
        <v>245</v>
      </c>
      <c r="AF65" s="61">
        <v>70.099999999999994</v>
      </c>
      <c r="AG65" s="61">
        <v>2.0565500000000001</v>
      </c>
      <c r="AH65" s="61" t="s">
        <v>245</v>
      </c>
      <c r="AI65" s="61">
        <f>IF(Table15[[#This Row],[Set]]="Zeta", -2, -20)</f>
        <v>-2</v>
      </c>
      <c r="AO65" t="s">
        <v>301</v>
      </c>
      <c r="AR65">
        <v>0.59099999999999997</v>
      </c>
      <c r="AS65">
        <v>1.5960000000000001</v>
      </c>
      <c r="AT65">
        <v>4.2000000000000003E-2</v>
      </c>
      <c r="AU65">
        <v>-7.0599999999999996E-2</v>
      </c>
      <c r="AV65">
        <v>2.1219999999999999</v>
      </c>
      <c r="AW65">
        <v>0</v>
      </c>
      <c r="BM65">
        <v>46</v>
      </c>
      <c r="BN65">
        <v>62</v>
      </c>
      <c r="BO65">
        <v>0.97077891715822395</v>
      </c>
      <c r="BY65">
        <v>57</v>
      </c>
      <c r="BZ65">
        <v>65</v>
      </c>
      <c r="CA65">
        <v>2.1462626022611202</v>
      </c>
      <c r="CK65" t="s">
        <v>332</v>
      </c>
    </row>
    <row r="66" spans="24:89" x14ac:dyDescent="0.3">
      <c r="X66" s="60">
        <v>20</v>
      </c>
      <c r="Y66" s="61" t="s">
        <v>40</v>
      </c>
      <c r="Z66" s="61">
        <v>0</v>
      </c>
      <c r="AA66" s="61">
        <v>0</v>
      </c>
      <c r="AB66" s="61">
        <v>0</v>
      </c>
      <c r="AC66" s="61">
        <v>0</v>
      </c>
      <c r="AD66" s="61">
        <v>45.7</v>
      </c>
      <c r="AE66" s="61">
        <v>64</v>
      </c>
      <c r="AF66" s="61">
        <v>18.3</v>
      </c>
      <c r="AG66" s="61">
        <v>2.0581299999999998</v>
      </c>
      <c r="AH66" s="61" t="s">
        <v>245</v>
      </c>
      <c r="AI66" s="61">
        <f>IF(Table15[[#This Row],[Set]]="Zeta", -2, -20)</f>
        <v>-20</v>
      </c>
      <c r="BM66">
        <v>7</v>
      </c>
      <c r="BN66">
        <v>63</v>
      </c>
      <c r="BO66">
        <v>0.97876099994766697</v>
      </c>
      <c r="BY66">
        <v>98</v>
      </c>
      <c r="BZ66">
        <v>66</v>
      </c>
      <c r="CA66">
        <v>2.1843899546479801</v>
      </c>
    </row>
    <row r="67" spans="24:89" x14ac:dyDescent="0.3">
      <c r="X67" s="60">
        <v>57</v>
      </c>
      <c r="Y67" s="61" t="s">
        <v>41</v>
      </c>
      <c r="Z67" s="61">
        <v>4</v>
      </c>
      <c r="AA67" s="61">
        <v>6</v>
      </c>
      <c r="AB67" s="61">
        <v>2</v>
      </c>
      <c r="AC67" s="61">
        <v>1.7095100000000001</v>
      </c>
      <c r="AD67" s="61">
        <v>94.7</v>
      </c>
      <c r="AE67" s="61">
        <v>130.80000000000001</v>
      </c>
      <c r="AF67" s="61">
        <v>36.1</v>
      </c>
      <c r="AG67" s="61">
        <v>2.1462599999999998</v>
      </c>
      <c r="AH67" s="61" t="s">
        <v>245</v>
      </c>
      <c r="AI67" s="61">
        <f>IF(Table15[[#This Row],[Set]]="Zeta", -2, -20)</f>
        <v>-20</v>
      </c>
      <c r="BM67">
        <v>33</v>
      </c>
      <c r="BN67">
        <v>64</v>
      </c>
      <c r="BO67">
        <v>0.981640612082605</v>
      </c>
      <c r="BY67">
        <v>79</v>
      </c>
      <c r="BZ67">
        <v>67</v>
      </c>
      <c r="CA67">
        <v>2.19341642216351</v>
      </c>
    </row>
    <row r="68" spans="24:89" x14ac:dyDescent="0.3">
      <c r="X68" s="60">
        <v>98</v>
      </c>
      <c r="Y68" s="61" t="s">
        <v>42</v>
      </c>
      <c r="Z68" s="61">
        <v>265</v>
      </c>
      <c r="AA68" s="61">
        <v>322</v>
      </c>
      <c r="AB68" s="61">
        <v>57</v>
      </c>
      <c r="AC68" s="61">
        <v>3.5578500000000002</v>
      </c>
      <c r="AD68" s="61">
        <v>200.3</v>
      </c>
      <c r="AE68" s="61">
        <v>275.10000000000002</v>
      </c>
      <c r="AF68" s="61">
        <v>74.8</v>
      </c>
      <c r="AG68" s="61">
        <v>2.1843900000000001</v>
      </c>
      <c r="AH68" s="61" t="s">
        <v>245</v>
      </c>
      <c r="AI68" s="61">
        <f>IF(Table15[[#This Row],[Set]]="Zeta", -2, -20)</f>
        <v>-20</v>
      </c>
      <c r="BM68">
        <v>34</v>
      </c>
      <c r="BN68">
        <v>65</v>
      </c>
      <c r="BO68">
        <v>0.98705980276236205</v>
      </c>
      <c r="BY68">
        <v>74</v>
      </c>
      <c r="BZ68">
        <v>68</v>
      </c>
      <c r="CA68">
        <v>2.2890908892788602</v>
      </c>
    </row>
    <row r="69" spans="24:89" x14ac:dyDescent="0.3">
      <c r="X69" s="60">
        <v>79</v>
      </c>
      <c r="Y69" s="61" t="s">
        <v>42</v>
      </c>
      <c r="Z69" s="61">
        <v>53</v>
      </c>
      <c r="AA69" s="61">
        <v>103</v>
      </c>
      <c r="AB69" s="61">
        <v>50</v>
      </c>
      <c r="AC69" s="61">
        <v>1.04321</v>
      </c>
      <c r="AD69" s="61">
        <v>130.5</v>
      </c>
      <c r="AE69" s="61">
        <v>179</v>
      </c>
      <c r="AF69" s="61">
        <v>48.5</v>
      </c>
      <c r="AG69" s="61">
        <v>2.1934200000000001</v>
      </c>
      <c r="AH69" s="61" t="s">
        <v>245</v>
      </c>
      <c r="AI69" s="61">
        <f>IF(Table15[[#This Row],[Set]]="Zeta", -2, -20)</f>
        <v>-20</v>
      </c>
      <c r="BM69">
        <v>24</v>
      </c>
      <c r="BN69">
        <v>66</v>
      </c>
      <c r="BO69">
        <v>1.0068047394149799</v>
      </c>
      <c r="BY69">
        <v>100</v>
      </c>
      <c r="BZ69">
        <v>69</v>
      </c>
      <c r="CA69">
        <v>2.3328494051809101</v>
      </c>
    </row>
    <row r="70" spans="24:89" x14ac:dyDescent="0.3">
      <c r="X70" s="60">
        <v>74</v>
      </c>
      <c r="Y70" s="61" t="s">
        <v>41</v>
      </c>
      <c r="Z70" s="61">
        <v>2</v>
      </c>
      <c r="AA70" s="61">
        <v>7</v>
      </c>
      <c r="AB70" s="61">
        <v>5</v>
      </c>
      <c r="AC70" s="61">
        <v>0.55328999999999995</v>
      </c>
      <c r="AD70" s="61">
        <v>141.1</v>
      </c>
      <c r="AE70" s="61">
        <v>191</v>
      </c>
      <c r="AF70" s="61">
        <v>49.9</v>
      </c>
      <c r="AG70" s="61">
        <v>2.2890899999999998</v>
      </c>
      <c r="AH70" s="61" t="s">
        <v>245</v>
      </c>
      <c r="AI70" s="61">
        <f>IF(Table15[[#This Row],[Set]]="Zeta", -2, -20)</f>
        <v>-20</v>
      </c>
      <c r="BM70">
        <v>58</v>
      </c>
      <c r="BN70">
        <v>67</v>
      </c>
      <c r="BO70">
        <v>1.0116009116784701</v>
      </c>
      <c r="BY70">
        <v>71</v>
      </c>
      <c r="BZ70">
        <v>70</v>
      </c>
      <c r="CA70">
        <v>2.36939090062645</v>
      </c>
    </row>
    <row r="71" spans="24:89" x14ac:dyDescent="0.3">
      <c r="X71" s="60">
        <v>100</v>
      </c>
      <c r="Y71" s="61" t="s">
        <v>42</v>
      </c>
      <c r="Z71" s="61">
        <v>221</v>
      </c>
      <c r="AA71" s="61">
        <v>256</v>
      </c>
      <c r="AB71" s="61">
        <v>35</v>
      </c>
      <c r="AC71" s="61">
        <v>4.7148099999999999</v>
      </c>
      <c r="AD71" s="61">
        <v>450.6</v>
      </c>
      <c r="AE71" s="61">
        <v>606.5</v>
      </c>
      <c r="AF71" s="61">
        <v>155.9</v>
      </c>
      <c r="AG71" s="61">
        <v>2.3328500000000001</v>
      </c>
      <c r="AH71" s="61">
        <v>25.76042</v>
      </c>
      <c r="AI71" s="61">
        <f>IF(Table15[[#This Row],[Set]]="Zeta", -2, -20)</f>
        <v>-20</v>
      </c>
      <c r="BM71">
        <v>87</v>
      </c>
      <c r="BN71">
        <v>68</v>
      </c>
      <c r="BO71">
        <v>1.02748494465252</v>
      </c>
      <c r="BY71">
        <v>90</v>
      </c>
      <c r="BZ71">
        <v>71</v>
      </c>
      <c r="CA71">
        <v>2.4739247953910399</v>
      </c>
    </row>
    <row r="72" spans="24:89" x14ac:dyDescent="0.3">
      <c r="X72" s="60">
        <v>71</v>
      </c>
      <c r="Y72" s="61" t="s">
        <v>41</v>
      </c>
      <c r="Z72" s="61">
        <v>3</v>
      </c>
      <c r="AA72" s="61">
        <v>5</v>
      </c>
      <c r="AB72" s="61">
        <v>2</v>
      </c>
      <c r="AC72" s="61">
        <v>1.3569199999999999</v>
      </c>
      <c r="AD72" s="61">
        <v>164.2</v>
      </c>
      <c r="AE72" s="61">
        <v>220</v>
      </c>
      <c r="AF72" s="61">
        <v>55.8</v>
      </c>
      <c r="AG72" s="61">
        <v>2.3693900000000001</v>
      </c>
      <c r="AH72" s="61" t="s">
        <v>245</v>
      </c>
      <c r="AI72" s="61">
        <f>IF(Table15[[#This Row],[Set]]="Zeta", -2, -20)</f>
        <v>-20</v>
      </c>
      <c r="BM72">
        <v>69</v>
      </c>
      <c r="BN72">
        <v>69</v>
      </c>
      <c r="BO72">
        <v>1.04702491987761</v>
      </c>
      <c r="BY72">
        <v>66</v>
      </c>
      <c r="BZ72">
        <v>72</v>
      </c>
      <c r="CA72">
        <v>2.5387141651918199</v>
      </c>
    </row>
    <row r="73" spans="24:89" x14ac:dyDescent="0.3">
      <c r="X73" s="60">
        <v>90</v>
      </c>
      <c r="Y73" s="61" t="s">
        <v>42</v>
      </c>
      <c r="Z73" s="61">
        <v>388</v>
      </c>
      <c r="AA73" s="61">
        <v>400</v>
      </c>
      <c r="AB73" s="61">
        <v>12</v>
      </c>
      <c r="AC73" s="61">
        <v>22.75657</v>
      </c>
      <c r="AD73" s="61">
        <v>147.19999999999999</v>
      </c>
      <c r="AE73" s="61">
        <v>194.8</v>
      </c>
      <c r="AF73" s="61">
        <v>47.6</v>
      </c>
      <c r="AG73" s="61">
        <v>2.4739200000000001</v>
      </c>
      <c r="AH73" s="61" t="s">
        <v>245</v>
      </c>
      <c r="AI73" s="61">
        <f>IF(Table15[[#This Row],[Set]]="Zeta", -2, -20)</f>
        <v>-20</v>
      </c>
      <c r="BM73">
        <v>38</v>
      </c>
      <c r="BN73">
        <v>70</v>
      </c>
      <c r="BO73">
        <v>1.04901534752873</v>
      </c>
      <c r="BY73">
        <v>93</v>
      </c>
      <c r="BZ73">
        <v>73</v>
      </c>
      <c r="CA73">
        <v>2.61924183178817</v>
      </c>
    </row>
    <row r="74" spans="24:89" x14ac:dyDescent="0.3">
      <c r="X74" s="60">
        <v>66</v>
      </c>
      <c r="Y74" s="61" t="s">
        <v>39</v>
      </c>
      <c r="Z74" s="61">
        <v>58</v>
      </c>
      <c r="AA74" s="61">
        <v>39</v>
      </c>
      <c r="AB74" s="61">
        <v>-19</v>
      </c>
      <c r="AC74" s="61">
        <v>-1.74648</v>
      </c>
      <c r="AD74" s="61">
        <v>91.1</v>
      </c>
      <c r="AE74" s="61">
        <v>119.7</v>
      </c>
      <c r="AF74" s="61">
        <v>28.6</v>
      </c>
      <c r="AG74" s="61">
        <v>2.53871</v>
      </c>
      <c r="AH74" s="61" t="s">
        <v>245</v>
      </c>
      <c r="AI74" s="61">
        <f>IF(Table15[[#This Row],[Set]]="Zeta", -2, -20)</f>
        <v>-2</v>
      </c>
      <c r="BM74">
        <v>39</v>
      </c>
      <c r="BN74">
        <v>71</v>
      </c>
      <c r="BO74">
        <v>1.05678932253308</v>
      </c>
      <c r="BY74">
        <v>84</v>
      </c>
      <c r="BZ74">
        <v>74</v>
      </c>
      <c r="CA74">
        <v>2.6644995105181399</v>
      </c>
    </row>
    <row r="75" spans="24:89" x14ac:dyDescent="0.3">
      <c r="X75" s="60">
        <v>93</v>
      </c>
      <c r="Y75" s="61" t="s">
        <v>42</v>
      </c>
      <c r="Z75" s="61">
        <v>199</v>
      </c>
      <c r="AA75" s="61">
        <v>230</v>
      </c>
      <c r="AB75" s="61">
        <v>31</v>
      </c>
      <c r="AC75" s="61">
        <v>4.7877700000000001</v>
      </c>
      <c r="AD75" s="61">
        <v>290.8</v>
      </c>
      <c r="AE75" s="61">
        <v>378.9</v>
      </c>
      <c r="AF75" s="61">
        <v>88.1</v>
      </c>
      <c r="AG75" s="61">
        <v>2.61924</v>
      </c>
      <c r="AH75" s="61">
        <v>2.91289</v>
      </c>
      <c r="AI75" s="61">
        <f>IF(Table15[[#This Row],[Set]]="Zeta", -2, -20)</f>
        <v>-20</v>
      </c>
      <c r="BM75">
        <v>18</v>
      </c>
      <c r="BN75">
        <v>72</v>
      </c>
      <c r="BO75">
        <v>1.0690118188918101</v>
      </c>
      <c r="BY75">
        <v>88</v>
      </c>
      <c r="BZ75">
        <v>75</v>
      </c>
      <c r="CA75">
        <v>2.7347921573965901</v>
      </c>
    </row>
    <row r="76" spans="24:89" x14ac:dyDescent="0.3">
      <c r="X76" s="60">
        <v>84</v>
      </c>
      <c r="Y76" s="61" t="s">
        <v>42</v>
      </c>
      <c r="Z76" s="61">
        <v>17</v>
      </c>
      <c r="AA76" s="61">
        <v>35</v>
      </c>
      <c r="AB76" s="61">
        <v>18</v>
      </c>
      <c r="AC76" s="61">
        <v>0.95986000000000005</v>
      </c>
      <c r="AD76" s="61">
        <v>58.9</v>
      </c>
      <c r="AE76" s="61">
        <v>76.400000000000006</v>
      </c>
      <c r="AF76" s="61">
        <v>17.5</v>
      </c>
      <c r="AG76" s="61">
        <v>2.6644999999999999</v>
      </c>
      <c r="AH76" s="61" t="s">
        <v>245</v>
      </c>
      <c r="AI76" s="61">
        <f>IF(Table15[[#This Row],[Set]]="Zeta", -2, -20)</f>
        <v>-20</v>
      </c>
      <c r="BM76">
        <v>64</v>
      </c>
      <c r="BN76">
        <v>73</v>
      </c>
      <c r="BO76">
        <v>1.0866587018551599</v>
      </c>
      <c r="BY76">
        <v>92</v>
      </c>
      <c r="BZ76">
        <v>76</v>
      </c>
      <c r="CA76">
        <v>2.92758440395093</v>
      </c>
    </row>
    <row r="77" spans="24:89" x14ac:dyDescent="0.3">
      <c r="X77" s="60">
        <v>88</v>
      </c>
      <c r="Y77" s="61" t="s">
        <v>42</v>
      </c>
      <c r="Z77" s="61">
        <v>88</v>
      </c>
      <c r="AA77" s="61">
        <v>100</v>
      </c>
      <c r="AB77" s="61">
        <v>12</v>
      </c>
      <c r="AC77" s="61">
        <v>5.4222700000000001</v>
      </c>
      <c r="AD77" s="61">
        <v>238.5</v>
      </c>
      <c r="AE77" s="61">
        <v>307.3</v>
      </c>
      <c r="AF77" s="61">
        <v>68.8</v>
      </c>
      <c r="AG77" s="61">
        <v>2.7347899999999998</v>
      </c>
      <c r="AH77" s="61" t="s">
        <v>245</v>
      </c>
      <c r="AI77" s="61">
        <f>IF(Table15[[#This Row],[Set]]="Zeta", -2, -20)</f>
        <v>-20</v>
      </c>
      <c r="BM77">
        <v>56</v>
      </c>
      <c r="BN77">
        <v>74</v>
      </c>
      <c r="BO77">
        <v>1.0986122886681</v>
      </c>
      <c r="BY77">
        <v>95</v>
      </c>
      <c r="BZ77">
        <v>77</v>
      </c>
      <c r="CA77">
        <v>2.9692156844279798</v>
      </c>
    </row>
    <row r="78" spans="24:89" x14ac:dyDescent="0.3">
      <c r="X78" s="60">
        <v>92</v>
      </c>
      <c r="Y78" s="61" t="s">
        <v>41</v>
      </c>
      <c r="Z78" s="61">
        <v>295</v>
      </c>
      <c r="AA78" s="61">
        <v>300</v>
      </c>
      <c r="AB78" s="61">
        <v>5</v>
      </c>
      <c r="AC78" s="61">
        <v>41.241289999999999</v>
      </c>
      <c r="AD78" s="61">
        <v>252.3</v>
      </c>
      <c r="AE78" s="61">
        <v>319.7</v>
      </c>
      <c r="AF78" s="61">
        <v>67.400000000000006</v>
      </c>
      <c r="AG78" s="61">
        <v>2.9275799999999998</v>
      </c>
      <c r="AH78" s="61" t="s">
        <v>245</v>
      </c>
      <c r="AI78" s="61">
        <f>IF(Table15[[#This Row],[Set]]="Zeta", -2, -20)</f>
        <v>-20</v>
      </c>
      <c r="BM78">
        <v>1</v>
      </c>
      <c r="BN78">
        <v>75</v>
      </c>
      <c r="BO78">
        <v>1.10575517618048</v>
      </c>
      <c r="BY78">
        <v>36</v>
      </c>
      <c r="BZ78">
        <v>78</v>
      </c>
      <c r="CA78">
        <v>2.9902603714766598</v>
      </c>
    </row>
    <row r="79" spans="24:89" x14ac:dyDescent="0.3">
      <c r="X79" s="60">
        <v>95</v>
      </c>
      <c r="Y79" s="61" t="s">
        <v>39</v>
      </c>
      <c r="Z79" s="61">
        <v>175</v>
      </c>
      <c r="AA79" s="61">
        <v>193</v>
      </c>
      <c r="AB79" s="61">
        <v>18</v>
      </c>
      <c r="AC79" s="61">
        <v>7.0798500000000004</v>
      </c>
      <c r="AD79" s="61">
        <v>73.400000000000006</v>
      </c>
      <c r="AE79" s="61">
        <v>92.7</v>
      </c>
      <c r="AF79" s="61">
        <v>19.3</v>
      </c>
      <c r="AG79" s="61">
        <v>2.96922</v>
      </c>
      <c r="AH79" s="61" t="s">
        <v>245</v>
      </c>
      <c r="AI79" s="61">
        <f>IF(Table15[[#This Row],[Set]]="Zeta", -2, -20)</f>
        <v>-2</v>
      </c>
      <c r="BM79">
        <v>78</v>
      </c>
      <c r="BN79">
        <v>76</v>
      </c>
      <c r="BO79">
        <v>1.1130703718433299</v>
      </c>
      <c r="BY79">
        <v>8</v>
      </c>
      <c r="BZ79">
        <v>79</v>
      </c>
      <c r="CA79">
        <v>3.0239042243240601</v>
      </c>
    </row>
    <row r="80" spans="24:89" x14ac:dyDescent="0.3">
      <c r="X80" s="60">
        <v>36</v>
      </c>
      <c r="Y80" s="61" t="s">
        <v>40</v>
      </c>
      <c r="Z80" s="61">
        <v>0</v>
      </c>
      <c r="AA80" s="61">
        <v>0</v>
      </c>
      <c r="AB80" s="61">
        <v>0</v>
      </c>
      <c r="AC80" s="61">
        <v>0</v>
      </c>
      <c r="AD80" s="61">
        <v>20.7</v>
      </c>
      <c r="AE80" s="61">
        <v>26.1</v>
      </c>
      <c r="AF80" s="61">
        <v>5.4</v>
      </c>
      <c r="AG80" s="61">
        <v>2.9902600000000001</v>
      </c>
      <c r="AH80" s="61" t="s">
        <v>245</v>
      </c>
      <c r="AI80" s="61">
        <f>IF(Table15[[#This Row],[Set]]="Zeta", -2, -20)</f>
        <v>-20</v>
      </c>
      <c r="BM80">
        <v>11</v>
      </c>
      <c r="BN80">
        <v>77</v>
      </c>
      <c r="BO80">
        <v>1.1138564863112199</v>
      </c>
      <c r="BY80">
        <v>63</v>
      </c>
      <c r="BZ80">
        <v>80</v>
      </c>
      <c r="CA80">
        <v>3.1840236711562202</v>
      </c>
    </row>
    <row r="81" spans="24:79" x14ac:dyDescent="0.3">
      <c r="X81" s="60">
        <v>8</v>
      </c>
      <c r="Y81" s="61" t="s">
        <v>40</v>
      </c>
      <c r="Z81" s="61">
        <v>0</v>
      </c>
      <c r="AA81" s="61">
        <v>0</v>
      </c>
      <c r="AB81" s="61">
        <v>0</v>
      </c>
      <c r="AC81" s="61">
        <v>0</v>
      </c>
      <c r="AD81" s="61">
        <v>65.599999999999994</v>
      </c>
      <c r="AE81" s="61">
        <v>82.5</v>
      </c>
      <c r="AF81" s="61">
        <v>16.899999999999999</v>
      </c>
      <c r="AG81" s="61">
        <v>3.0238999999999998</v>
      </c>
      <c r="AH81" s="61" t="s">
        <v>245</v>
      </c>
      <c r="AI81" s="61">
        <f>IF(Table15[[#This Row],[Set]]="Zeta", -2, -20)</f>
        <v>-20</v>
      </c>
      <c r="BM81">
        <v>35</v>
      </c>
      <c r="BN81">
        <v>78</v>
      </c>
      <c r="BO81">
        <v>1.11496779344019</v>
      </c>
      <c r="BY81">
        <v>68</v>
      </c>
      <c r="BZ81">
        <v>81</v>
      </c>
      <c r="CA81">
        <v>3.2768082671672301</v>
      </c>
    </row>
    <row r="82" spans="24:79" x14ac:dyDescent="0.3">
      <c r="X82" s="60">
        <v>63</v>
      </c>
      <c r="Y82" s="61" t="s">
        <v>39</v>
      </c>
      <c r="Z82" s="61">
        <v>68</v>
      </c>
      <c r="AA82" s="61">
        <v>62</v>
      </c>
      <c r="AB82" s="61">
        <v>-6</v>
      </c>
      <c r="AC82" s="61">
        <v>-7.5037599999999998</v>
      </c>
      <c r="AD82" s="61">
        <v>77.3</v>
      </c>
      <c r="AE82" s="61">
        <v>96.1</v>
      </c>
      <c r="AF82" s="61">
        <v>18.8</v>
      </c>
      <c r="AG82" s="61">
        <v>3.1840199999999999</v>
      </c>
      <c r="AH82" s="61" t="s">
        <v>245</v>
      </c>
      <c r="AI82" s="61">
        <f>IF(Table15[[#This Row],[Set]]="Zeta", -2, -20)</f>
        <v>-2</v>
      </c>
      <c r="BM82">
        <v>76</v>
      </c>
      <c r="BN82">
        <v>79</v>
      </c>
      <c r="BO82">
        <v>1.1317644959850099</v>
      </c>
      <c r="BY82">
        <v>77</v>
      </c>
      <c r="BZ82">
        <v>82</v>
      </c>
      <c r="CA82">
        <v>3.75465903074095</v>
      </c>
    </row>
    <row r="83" spans="24:79" x14ac:dyDescent="0.3">
      <c r="X83" s="60">
        <v>68</v>
      </c>
      <c r="Y83" s="61" t="s">
        <v>41</v>
      </c>
      <c r="Z83" s="61">
        <v>0</v>
      </c>
      <c r="AA83" s="61">
        <v>3</v>
      </c>
      <c r="AB83" s="61">
        <v>3</v>
      </c>
      <c r="AC83" s="61">
        <v>0</v>
      </c>
      <c r="AD83" s="61">
        <v>171.5</v>
      </c>
      <c r="AE83" s="61">
        <v>211.9</v>
      </c>
      <c r="AF83" s="61">
        <v>40.4</v>
      </c>
      <c r="AG83" s="61">
        <v>3.2768099999999998</v>
      </c>
      <c r="AH83" s="61" t="s">
        <v>245</v>
      </c>
      <c r="AI83" s="61">
        <f>IF(Table15[[#This Row],[Set]]="Zeta", -2, -20)</f>
        <v>-20</v>
      </c>
      <c r="BM83">
        <v>51</v>
      </c>
      <c r="BN83">
        <v>80</v>
      </c>
      <c r="BO83">
        <v>1.1451323043029999</v>
      </c>
      <c r="BY83">
        <v>70</v>
      </c>
      <c r="BZ83">
        <v>83</v>
      </c>
      <c r="CA83">
        <v>3.8084673440058698</v>
      </c>
    </row>
    <row r="84" spans="24:79" x14ac:dyDescent="0.3">
      <c r="X84" s="60">
        <v>77</v>
      </c>
      <c r="Y84" s="61" t="s">
        <v>39</v>
      </c>
      <c r="Z84" s="61">
        <v>360</v>
      </c>
      <c r="AA84" s="61">
        <v>353</v>
      </c>
      <c r="AB84" s="61">
        <v>-7</v>
      </c>
      <c r="AC84" s="61">
        <v>-35.299860000000002</v>
      </c>
      <c r="AD84" s="61">
        <v>174.6</v>
      </c>
      <c r="AE84" s="61">
        <v>210</v>
      </c>
      <c r="AF84" s="61">
        <v>35.4</v>
      </c>
      <c r="AG84" s="61">
        <v>3.7546599999999999</v>
      </c>
      <c r="AH84" s="61" t="s">
        <v>245</v>
      </c>
      <c r="AI84" s="61">
        <f>IF(Table15[[#This Row],[Set]]="Zeta", -2, -20)</f>
        <v>-2</v>
      </c>
      <c r="BM84">
        <v>43</v>
      </c>
      <c r="BN84">
        <v>81</v>
      </c>
      <c r="BO84">
        <v>1.15854211341749</v>
      </c>
      <c r="BY84">
        <v>61</v>
      </c>
      <c r="BZ84">
        <v>84</v>
      </c>
      <c r="CA84">
        <v>4.0334369756325703</v>
      </c>
    </row>
    <row r="85" spans="24:79" x14ac:dyDescent="0.3">
      <c r="X85" s="60">
        <v>70</v>
      </c>
      <c r="Y85" s="61" t="s">
        <v>41</v>
      </c>
      <c r="Z85" s="61">
        <v>10</v>
      </c>
      <c r="AA85" s="61">
        <v>18</v>
      </c>
      <c r="AB85" s="61">
        <v>8</v>
      </c>
      <c r="AC85" s="61">
        <v>1.1792499999999999</v>
      </c>
      <c r="AD85" s="61">
        <v>52.1</v>
      </c>
      <c r="AE85" s="61">
        <v>62.5</v>
      </c>
      <c r="AF85" s="61">
        <v>10.4</v>
      </c>
      <c r="AG85" s="61">
        <v>3.8084699999999998</v>
      </c>
      <c r="AH85" s="61" t="s">
        <v>245</v>
      </c>
      <c r="AI85" s="61">
        <f>IF(Table15[[#This Row],[Set]]="Zeta", -2, -20)</f>
        <v>-20</v>
      </c>
      <c r="BM85">
        <v>52</v>
      </c>
      <c r="BN85">
        <v>82</v>
      </c>
      <c r="BO85">
        <v>1.1622489609545299</v>
      </c>
      <c r="BY85">
        <v>73</v>
      </c>
      <c r="BZ85">
        <v>85</v>
      </c>
      <c r="CA85">
        <v>4.3470310224889204</v>
      </c>
    </row>
    <row r="86" spans="24:79" x14ac:dyDescent="0.3">
      <c r="X86" s="60">
        <v>61</v>
      </c>
      <c r="Y86" s="61" t="s">
        <v>41</v>
      </c>
      <c r="Z86" s="61">
        <v>9</v>
      </c>
      <c r="AA86" s="61">
        <v>13</v>
      </c>
      <c r="AB86" s="61">
        <v>4</v>
      </c>
      <c r="AC86" s="61">
        <v>1.88496</v>
      </c>
      <c r="AD86" s="61">
        <v>12.8</v>
      </c>
      <c r="AE86" s="61">
        <v>15.2</v>
      </c>
      <c r="AF86" s="61">
        <v>2.4</v>
      </c>
      <c r="AG86" s="61">
        <v>4.0334399999999997</v>
      </c>
      <c r="AH86" s="61" t="s">
        <v>245</v>
      </c>
      <c r="AI86" s="61">
        <f>IF(Table15[[#This Row],[Set]]="Zeta", -2, -20)</f>
        <v>-20</v>
      </c>
      <c r="BM86">
        <v>50</v>
      </c>
      <c r="BN86">
        <v>83</v>
      </c>
      <c r="BO86">
        <v>1.19633917947086</v>
      </c>
      <c r="BY86">
        <v>86</v>
      </c>
      <c r="BZ86">
        <v>86</v>
      </c>
      <c r="CA86">
        <v>4.3662567411801296</v>
      </c>
    </row>
    <row r="87" spans="24:79" x14ac:dyDescent="0.3">
      <c r="X87" s="60">
        <v>73</v>
      </c>
      <c r="Y87" s="61" t="s">
        <v>41</v>
      </c>
      <c r="Z87" s="61">
        <v>39</v>
      </c>
      <c r="AA87" s="61">
        <v>49</v>
      </c>
      <c r="AB87" s="61">
        <v>10</v>
      </c>
      <c r="AC87" s="61">
        <v>3.03667</v>
      </c>
      <c r="AD87" s="61">
        <v>83.3</v>
      </c>
      <c r="AE87" s="61">
        <v>97.7</v>
      </c>
      <c r="AF87" s="61">
        <v>14.4</v>
      </c>
      <c r="AG87" s="61">
        <v>4.3470300000000002</v>
      </c>
      <c r="AH87" s="61" t="s">
        <v>245</v>
      </c>
      <c r="AI87" s="61">
        <f>IF(Table15[[#This Row],[Set]]="Zeta", -2, -20)</f>
        <v>-20</v>
      </c>
      <c r="BM87">
        <v>53</v>
      </c>
      <c r="BN87">
        <v>84</v>
      </c>
      <c r="BO87">
        <v>1.24828200506033</v>
      </c>
      <c r="BY87">
        <v>91</v>
      </c>
      <c r="BZ87">
        <v>87</v>
      </c>
      <c r="CA87">
        <v>4.5355219587329003</v>
      </c>
    </row>
    <row r="88" spans="24:79" x14ac:dyDescent="0.3">
      <c r="X88" s="60">
        <v>86</v>
      </c>
      <c r="Y88" s="61" t="s">
        <v>42</v>
      </c>
      <c r="Z88" s="61">
        <v>211</v>
      </c>
      <c r="AA88" s="61">
        <v>254</v>
      </c>
      <c r="AB88" s="61">
        <v>43</v>
      </c>
      <c r="AC88" s="61">
        <v>3.73712</v>
      </c>
      <c r="AD88" s="61">
        <v>365.6</v>
      </c>
      <c r="AE88" s="61">
        <v>428.5</v>
      </c>
      <c r="AF88" s="61">
        <v>62.9</v>
      </c>
      <c r="AG88" s="61">
        <v>4.3662599999999996</v>
      </c>
      <c r="AH88" s="61">
        <v>1.3569199999999999</v>
      </c>
      <c r="AI88" s="61">
        <f>IF(Table15[[#This Row],[Set]]="Zeta", -2, -20)</f>
        <v>-20</v>
      </c>
      <c r="BM88">
        <v>14</v>
      </c>
      <c r="BN88">
        <v>85</v>
      </c>
      <c r="BO88">
        <v>1.2514866441357599</v>
      </c>
      <c r="BY88">
        <v>44</v>
      </c>
      <c r="BZ88">
        <v>88</v>
      </c>
      <c r="CA88">
        <v>4.7048940953586698</v>
      </c>
    </row>
    <row r="89" spans="24:79" x14ac:dyDescent="0.3">
      <c r="X89" s="60">
        <v>91</v>
      </c>
      <c r="Y89" s="61" t="s">
        <v>41</v>
      </c>
      <c r="Z89" s="61">
        <v>119</v>
      </c>
      <c r="AA89" s="61">
        <v>124</v>
      </c>
      <c r="AB89" s="61">
        <v>5</v>
      </c>
      <c r="AC89" s="61">
        <v>16.841100000000001</v>
      </c>
      <c r="AD89" s="61">
        <v>183.5</v>
      </c>
      <c r="AE89" s="61">
        <v>213.8</v>
      </c>
      <c r="AF89" s="61">
        <v>30.3</v>
      </c>
      <c r="AG89" s="61">
        <v>4.53552</v>
      </c>
      <c r="AH89" s="61" t="s">
        <v>245</v>
      </c>
      <c r="AI89" s="61">
        <f>IF(Table15[[#This Row],[Set]]="Zeta", -2, -20)</f>
        <v>-20</v>
      </c>
      <c r="BM89">
        <v>60</v>
      </c>
      <c r="BN89">
        <v>86</v>
      </c>
      <c r="BO89">
        <v>1.2656663733312701</v>
      </c>
      <c r="BY89">
        <v>80</v>
      </c>
      <c r="BZ89">
        <v>89</v>
      </c>
      <c r="CA89">
        <v>4.9993848679869499</v>
      </c>
    </row>
    <row r="90" spans="24:79" x14ac:dyDescent="0.3">
      <c r="X90" s="62">
        <v>44</v>
      </c>
      <c r="Y90" s="63" t="s">
        <v>40</v>
      </c>
      <c r="Z90" s="63">
        <v>0</v>
      </c>
      <c r="AA90" s="63">
        <v>0</v>
      </c>
      <c r="AB90" s="63">
        <v>0</v>
      </c>
      <c r="AC90" s="63">
        <v>0</v>
      </c>
      <c r="AD90" s="63">
        <v>18.899999999999999</v>
      </c>
      <c r="AE90" s="63">
        <v>21.9</v>
      </c>
      <c r="AF90" s="63">
        <v>3</v>
      </c>
      <c r="AG90" s="63">
        <v>4.7048899999999998</v>
      </c>
      <c r="AH90" s="63" t="s">
        <v>245</v>
      </c>
      <c r="AI90" s="61">
        <f>IF(Table15[[#This Row],[Set]]="Zeta", -2, -20)</f>
        <v>-20</v>
      </c>
      <c r="BM90">
        <v>15</v>
      </c>
      <c r="BN90">
        <v>87</v>
      </c>
      <c r="BO90">
        <v>1.3016814776563099</v>
      </c>
      <c r="BY90">
        <v>62</v>
      </c>
      <c r="BZ90">
        <v>90</v>
      </c>
      <c r="CA90">
        <v>5.3231125207409598</v>
      </c>
    </row>
    <row r="91" spans="24:79" x14ac:dyDescent="0.3">
      <c r="X91">
        <v>80</v>
      </c>
      <c r="Y91" t="s">
        <v>42</v>
      </c>
      <c r="Z91">
        <v>66</v>
      </c>
      <c r="AA91">
        <v>97</v>
      </c>
      <c r="AB91">
        <v>31</v>
      </c>
      <c r="AC91">
        <v>1.8001199999999999</v>
      </c>
      <c r="AD91">
        <v>78</v>
      </c>
      <c r="AE91">
        <v>89.6</v>
      </c>
      <c r="AF91">
        <v>11.6</v>
      </c>
      <c r="AG91">
        <v>4.9993800000000004</v>
      </c>
      <c r="AH91" t="s">
        <v>245</v>
      </c>
      <c r="AI91" s="61">
        <f>IF(Table15[[#This Row],[Set]]="Zeta", -2, -20)</f>
        <v>-20</v>
      </c>
      <c r="BM91">
        <v>31</v>
      </c>
      <c r="BN91">
        <v>88</v>
      </c>
      <c r="BO91">
        <v>1.31567679390593</v>
      </c>
      <c r="BY91">
        <v>6</v>
      </c>
      <c r="BZ91">
        <v>91</v>
      </c>
      <c r="CA91">
        <v>5.4883738584803696</v>
      </c>
    </row>
    <row r="92" spans="24:79" x14ac:dyDescent="0.3">
      <c r="X92">
        <v>62</v>
      </c>
      <c r="Y92" t="s">
        <v>42</v>
      </c>
      <c r="Z92">
        <v>27</v>
      </c>
      <c r="AA92">
        <v>41</v>
      </c>
      <c r="AB92">
        <v>14</v>
      </c>
      <c r="AC92">
        <v>1.6593</v>
      </c>
      <c r="AD92">
        <v>45.3</v>
      </c>
      <c r="AE92">
        <v>51.6</v>
      </c>
      <c r="AF92">
        <v>6.3</v>
      </c>
      <c r="AG92">
        <v>5.3231099999999998</v>
      </c>
      <c r="AH92" t="s">
        <v>245</v>
      </c>
      <c r="AI92" s="61">
        <f>IF(Table15[[#This Row],[Set]]="Zeta", -2, -20)</f>
        <v>-20</v>
      </c>
      <c r="BM92">
        <v>17</v>
      </c>
      <c r="BN92">
        <v>89</v>
      </c>
      <c r="BO92">
        <v>1.42138568093116</v>
      </c>
      <c r="BY92">
        <v>27</v>
      </c>
      <c r="BZ92">
        <v>92</v>
      </c>
      <c r="CA92">
        <v>7.0702154994970599</v>
      </c>
    </row>
    <row r="93" spans="24:79" x14ac:dyDescent="0.3">
      <c r="X93">
        <v>6</v>
      </c>
      <c r="Y93" t="s">
        <v>40</v>
      </c>
      <c r="Z93">
        <v>0</v>
      </c>
      <c r="AA93">
        <v>0</v>
      </c>
      <c r="AB93">
        <v>0</v>
      </c>
      <c r="AC93">
        <v>0</v>
      </c>
      <c r="AD93">
        <v>10.4</v>
      </c>
      <c r="AE93">
        <v>11.8</v>
      </c>
      <c r="AF93">
        <v>1.4</v>
      </c>
      <c r="AG93">
        <v>5.4883699999999997</v>
      </c>
      <c r="AH93" t="s">
        <v>245</v>
      </c>
      <c r="AI93" s="61">
        <f>IF(Table15[[#This Row],[Set]]="Zeta", -2, -20)</f>
        <v>-20</v>
      </c>
      <c r="BM93">
        <v>23</v>
      </c>
      <c r="BN93">
        <v>90</v>
      </c>
      <c r="BO93">
        <v>1.4362176698864899</v>
      </c>
      <c r="BY93">
        <v>67</v>
      </c>
      <c r="BZ93">
        <v>93</v>
      </c>
      <c r="CA93">
        <v>7.1455288125570897</v>
      </c>
    </row>
    <row r="94" spans="24:79" x14ac:dyDescent="0.3">
      <c r="X94">
        <v>27</v>
      </c>
      <c r="Y94" t="s">
        <v>40</v>
      </c>
      <c r="Z94">
        <v>0</v>
      </c>
      <c r="AA94">
        <v>0</v>
      </c>
      <c r="AB94">
        <v>0</v>
      </c>
      <c r="AC94">
        <v>0</v>
      </c>
      <c r="AD94">
        <v>23.3</v>
      </c>
      <c r="AE94">
        <v>25.7</v>
      </c>
      <c r="AF94">
        <v>2.4</v>
      </c>
      <c r="AG94">
        <v>7.0702199999999999</v>
      </c>
      <c r="AH94" t="s">
        <v>245</v>
      </c>
      <c r="AI94" s="61">
        <f>IF(Table15[[#This Row],[Set]]="Zeta", -2, -20)</f>
        <v>-20</v>
      </c>
      <c r="BM94">
        <v>42</v>
      </c>
      <c r="BN94">
        <v>91</v>
      </c>
      <c r="BO94">
        <v>1.45528723260684</v>
      </c>
      <c r="BY94">
        <v>2</v>
      </c>
      <c r="BZ94">
        <v>94</v>
      </c>
      <c r="CA94">
        <v>7.4303579280153196</v>
      </c>
    </row>
    <row r="95" spans="24:79" x14ac:dyDescent="0.3">
      <c r="X95">
        <v>67</v>
      </c>
      <c r="Y95" t="s">
        <v>41</v>
      </c>
      <c r="Z95">
        <v>4</v>
      </c>
      <c r="AA95">
        <v>8</v>
      </c>
      <c r="AB95">
        <v>4</v>
      </c>
      <c r="AC95">
        <v>1</v>
      </c>
      <c r="AD95">
        <v>139.4</v>
      </c>
      <c r="AE95">
        <v>153.6</v>
      </c>
      <c r="AF95">
        <v>14.2</v>
      </c>
      <c r="AG95">
        <v>7.1455299999999999</v>
      </c>
      <c r="AH95" t="s">
        <v>245</v>
      </c>
      <c r="AI95" s="61">
        <f>IF(Table15[[#This Row],[Set]]="Zeta", -2, -20)</f>
        <v>-20</v>
      </c>
      <c r="BM95">
        <v>12</v>
      </c>
      <c r="BN95">
        <v>92</v>
      </c>
      <c r="BO95">
        <v>1.48345810957353</v>
      </c>
      <c r="BY95">
        <v>75</v>
      </c>
      <c r="BZ95">
        <v>95</v>
      </c>
      <c r="CA95">
        <v>7.9733175890349104</v>
      </c>
    </row>
    <row r="96" spans="24:79" x14ac:dyDescent="0.3">
      <c r="X96">
        <v>2</v>
      </c>
      <c r="Y96" t="s">
        <v>39</v>
      </c>
      <c r="Z96">
        <v>0</v>
      </c>
      <c r="AA96">
        <v>0</v>
      </c>
      <c r="AB96">
        <v>0</v>
      </c>
      <c r="AC96">
        <v>0</v>
      </c>
      <c r="AD96">
        <v>193.3</v>
      </c>
      <c r="AE96">
        <v>212.2</v>
      </c>
      <c r="AF96">
        <v>18.899999999999999</v>
      </c>
      <c r="AG96">
        <v>7.4303600000000003</v>
      </c>
      <c r="AH96">
        <v>0</v>
      </c>
      <c r="AI96" s="61">
        <f>IF(Table15[[#This Row],[Set]]="Zeta", -2, -20)</f>
        <v>-2</v>
      </c>
      <c r="BM96">
        <v>9</v>
      </c>
      <c r="BN96">
        <v>93</v>
      </c>
      <c r="BO96">
        <v>1.49231255519668</v>
      </c>
      <c r="BY96">
        <v>83</v>
      </c>
      <c r="BZ96">
        <v>96</v>
      </c>
      <c r="CA96">
        <v>9.2166142723996796</v>
      </c>
    </row>
    <row r="97" spans="24:79" x14ac:dyDescent="0.3">
      <c r="X97">
        <v>75</v>
      </c>
      <c r="Y97" t="s">
        <v>41</v>
      </c>
      <c r="Z97">
        <v>21</v>
      </c>
      <c r="AA97">
        <v>31</v>
      </c>
      <c r="AB97">
        <v>10</v>
      </c>
      <c r="AC97">
        <v>1.7797400000000001</v>
      </c>
      <c r="AD97">
        <v>106.8</v>
      </c>
      <c r="AE97">
        <v>116.5</v>
      </c>
      <c r="AF97">
        <v>9.6999999999999993</v>
      </c>
      <c r="AG97">
        <v>7.9733200000000002</v>
      </c>
      <c r="AH97" t="s">
        <v>245</v>
      </c>
      <c r="AI97" s="61">
        <f>IF(Table15[[#This Row],[Set]]="Zeta", -2, -20)</f>
        <v>-20</v>
      </c>
      <c r="BM97">
        <v>25</v>
      </c>
      <c r="BN97">
        <v>94</v>
      </c>
      <c r="BO97">
        <v>1.5127935096166301</v>
      </c>
      <c r="BY97">
        <v>54</v>
      </c>
      <c r="BZ97">
        <v>97</v>
      </c>
      <c r="CA97">
        <v>12.8393587195095</v>
      </c>
    </row>
    <row r="98" spans="24:79" x14ac:dyDescent="0.3">
      <c r="X98">
        <v>83</v>
      </c>
      <c r="Y98" t="s">
        <v>42</v>
      </c>
      <c r="Z98">
        <v>217</v>
      </c>
      <c r="AA98">
        <v>245</v>
      </c>
      <c r="AB98">
        <v>28</v>
      </c>
      <c r="AC98">
        <v>5.7114599999999998</v>
      </c>
      <c r="AD98">
        <v>169</v>
      </c>
      <c r="AE98">
        <v>182.2</v>
      </c>
      <c r="AF98">
        <v>13.2</v>
      </c>
      <c r="AG98">
        <v>9.2166099999999993</v>
      </c>
      <c r="AH98" t="s">
        <v>245</v>
      </c>
      <c r="AI98" s="61">
        <f>IF(Table15[[#This Row],[Set]]="Zeta", -2, -20)</f>
        <v>-20</v>
      </c>
      <c r="BM98">
        <v>3</v>
      </c>
      <c r="BN98">
        <v>95</v>
      </c>
      <c r="BO98">
        <v>1.5193448689070601</v>
      </c>
      <c r="BY98">
        <v>45</v>
      </c>
      <c r="BZ98">
        <v>98</v>
      </c>
      <c r="CA98">
        <v>13.513407333964899</v>
      </c>
    </row>
    <row r="99" spans="24:79" x14ac:dyDescent="0.3">
      <c r="X99">
        <v>54</v>
      </c>
      <c r="Y99" t="s">
        <v>39</v>
      </c>
      <c r="Z99">
        <v>2</v>
      </c>
      <c r="AA99">
        <v>0</v>
      </c>
      <c r="AB99">
        <v>-2</v>
      </c>
      <c r="AC99">
        <v>0</v>
      </c>
      <c r="AD99">
        <v>64.900000000000006</v>
      </c>
      <c r="AE99">
        <v>68.5</v>
      </c>
      <c r="AF99">
        <v>3.6</v>
      </c>
      <c r="AG99">
        <v>12.839359999999999</v>
      </c>
      <c r="AH99" t="s">
        <v>245</v>
      </c>
      <c r="AI99" s="61">
        <f>IF(Table15[[#This Row],[Set]]="Zeta", -2, -20)</f>
        <v>-2</v>
      </c>
      <c r="BM99">
        <v>48</v>
      </c>
      <c r="BN99">
        <v>96</v>
      </c>
      <c r="BO99">
        <v>1.59122800105467</v>
      </c>
      <c r="BY99">
        <v>55</v>
      </c>
      <c r="BZ99">
        <v>99</v>
      </c>
      <c r="CA99">
        <v>15.116624378043699</v>
      </c>
    </row>
    <row r="100" spans="24:79" x14ac:dyDescent="0.3">
      <c r="X100">
        <v>45</v>
      </c>
      <c r="Y100" t="s">
        <v>40</v>
      </c>
      <c r="Z100">
        <v>0</v>
      </c>
      <c r="AA100">
        <v>0</v>
      </c>
      <c r="AB100">
        <v>0</v>
      </c>
      <c r="AC100">
        <v>0</v>
      </c>
      <c r="AD100">
        <v>3.8</v>
      </c>
      <c r="AE100">
        <v>4</v>
      </c>
      <c r="AF100">
        <v>0.2</v>
      </c>
      <c r="AG100">
        <v>13.51341</v>
      </c>
      <c r="AH100" t="s">
        <v>245</v>
      </c>
      <c r="AI100" s="61">
        <f>IF(Table15[[#This Row],[Set]]="Zeta", -2, -20)</f>
        <v>-20</v>
      </c>
      <c r="BM100">
        <v>30</v>
      </c>
      <c r="BN100">
        <v>97</v>
      </c>
      <c r="BO100">
        <v>1.6053893239081001</v>
      </c>
      <c r="BY100">
        <v>72</v>
      </c>
      <c r="BZ100">
        <v>100</v>
      </c>
      <c r="CA100">
        <v>18.969584471277301</v>
      </c>
    </row>
    <row r="101" spans="24:79" x14ac:dyDescent="0.3">
      <c r="X101">
        <v>55</v>
      </c>
      <c r="Y101" t="s">
        <v>39</v>
      </c>
      <c r="Z101">
        <v>0</v>
      </c>
      <c r="AA101">
        <v>0</v>
      </c>
      <c r="AB101">
        <v>0</v>
      </c>
      <c r="AC101">
        <v>0</v>
      </c>
      <c r="AD101">
        <v>68.2</v>
      </c>
      <c r="AE101">
        <v>71.400000000000006</v>
      </c>
      <c r="AF101">
        <v>3.2</v>
      </c>
      <c r="AG101">
        <v>15.116619999999999</v>
      </c>
      <c r="AH101" t="s">
        <v>245</v>
      </c>
      <c r="AI101" s="61">
        <f>IF(Table15[[#This Row],[Set]]="Zeta", -2, -20)</f>
        <v>-2</v>
      </c>
      <c r="BM101">
        <v>22</v>
      </c>
      <c r="BN101">
        <v>98</v>
      </c>
      <c r="BO101">
        <v>1.6094379124341001</v>
      </c>
      <c r="BY101" t="s">
        <v>372</v>
      </c>
    </row>
    <row r="102" spans="24:79" x14ac:dyDescent="0.3">
      <c r="X102">
        <v>72</v>
      </c>
      <c r="Y102" t="s">
        <v>41</v>
      </c>
      <c r="Z102">
        <v>12</v>
      </c>
      <c r="AA102">
        <v>17</v>
      </c>
      <c r="AB102">
        <v>5</v>
      </c>
      <c r="AC102">
        <v>1.9900500000000001</v>
      </c>
      <c r="AD102">
        <v>290.2</v>
      </c>
      <c r="AE102">
        <v>301</v>
      </c>
      <c r="AF102">
        <v>10.8</v>
      </c>
      <c r="AG102">
        <v>18.969580000000001</v>
      </c>
      <c r="AH102" t="s">
        <v>245</v>
      </c>
      <c r="AI102" s="61">
        <f>IF(Table15[[#This Row],[Set]]="Zeta", -2, -20)</f>
        <v>-20</v>
      </c>
      <c r="BM102">
        <v>37</v>
      </c>
      <c r="BN102">
        <v>99</v>
      </c>
      <c r="BO102">
        <v>1.68808103975321</v>
      </c>
      <c r="BY102" t="s">
        <v>388</v>
      </c>
    </row>
    <row r="103" spans="24:79" x14ac:dyDescent="0.3">
      <c r="BM103">
        <v>4</v>
      </c>
      <c r="BN103">
        <v>100</v>
      </c>
      <c r="BO103">
        <v>1.8009761243329701</v>
      </c>
      <c r="BY103" t="s">
        <v>389</v>
      </c>
    </row>
    <row r="104" spans="24:79" x14ac:dyDescent="0.3">
      <c r="BM104" t="s">
        <v>140</v>
      </c>
      <c r="BY104" t="s">
        <v>390</v>
      </c>
    </row>
    <row r="105" spans="24:79" x14ac:dyDescent="0.3">
      <c r="BM105" t="s">
        <v>305</v>
      </c>
      <c r="BY105" t="s">
        <v>391</v>
      </c>
    </row>
    <row r="106" spans="24:79" x14ac:dyDescent="0.3">
      <c r="BM106" t="s">
        <v>306</v>
      </c>
      <c r="BY106" t="s">
        <v>392</v>
      </c>
    </row>
    <row r="107" spans="24:79" x14ac:dyDescent="0.3">
      <c r="BM107" t="s">
        <v>307</v>
      </c>
      <c r="BY107" t="s">
        <v>393</v>
      </c>
    </row>
    <row r="108" spans="24:79" x14ac:dyDescent="0.3">
      <c r="BM108" t="s">
        <v>308</v>
      </c>
      <c r="BY108" t="s">
        <v>394</v>
      </c>
    </row>
    <row r="109" spans="24:79" x14ac:dyDescent="0.3">
      <c r="BM109" t="s">
        <v>309</v>
      </c>
      <c r="BY109" t="s">
        <v>395</v>
      </c>
    </row>
    <row r="110" spans="24:79" x14ac:dyDescent="0.3">
      <c r="BM110" t="s">
        <v>310</v>
      </c>
      <c r="BY110" t="s">
        <v>317</v>
      </c>
    </row>
    <row r="111" spans="24:79" x14ac:dyDescent="0.3">
      <c r="BM111" t="s">
        <v>311</v>
      </c>
      <c r="BY111" t="s">
        <v>318</v>
      </c>
    </row>
    <row r="112" spans="24:79" x14ac:dyDescent="0.3">
      <c r="BM112" t="s">
        <v>312</v>
      </c>
      <c r="BY112" t="s">
        <v>319</v>
      </c>
    </row>
    <row r="113" spans="65:77" x14ac:dyDescent="0.3">
      <c r="BM113" t="s">
        <v>313</v>
      </c>
      <c r="BY113" t="s">
        <v>320</v>
      </c>
    </row>
  </sheetData>
  <pageMargins left="0.7" right="0.7" top="0.75" bottom="0.75" header="0.3" footer="0.3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8CA0-922C-42A7-BEE3-3864D0CE7646}">
  <dimension ref="A1:C65"/>
  <sheetViews>
    <sheetView workbookViewId="0">
      <selection activeCell="F21" sqref="F21"/>
    </sheetView>
  </sheetViews>
  <sheetFormatPr defaultRowHeight="14.4" x14ac:dyDescent="0.3"/>
  <sheetData>
    <row r="1" spans="1:3" x14ac:dyDescent="0.3">
      <c r="A1" t="s">
        <v>150</v>
      </c>
      <c r="B1" t="s">
        <v>150</v>
      </c>
      <c r="C1" t="s">
        <v>279</v>
      </c>
    </row>
    <row r="2" spans="1:3" x14ac:dyDescent="0.3">
      <c r="A2" t="s">
        <v>150</v>
      </c>
      <c r="B2" t="s">
        <v>150</v>
      </c>
      <c r="C2" t="s">
        <v>280</v>
      </c>
    </row>
    <row r="3" spans="1:3" x14ac:dyDescent="0.3">
      <c r="A3" t="s">
        <v>153</v>
      </c>
      <c r="B3" t="s">
        <v>268</v>
      </c>
      <c r="C3" t="s">
        <v>269</v>
      </c>
    </row>
    <row r="4" spans="1:3" x14ac:dyDescent="0.3">
      <c r="A4">
        <v>2</v>
      </c>
      <c r="B4">
        <v>0</v>
      </c>
      <c r="C4">
        <v>0</v>
      </c>
    </row>
    <row r="5" spans="1:3" x14ac:dyDescent="0.3">
      <c r="A5">
        <v>17</v>
      </c>
      <c r="B5">
        <v>0</v>
      </c>
      <c r="C5">
        <v>0</v>
      </c>
    </row>
    <row r="6" spans="1:3" x14ac:dyDescent="0.3">
      <c r="A6">
        <v>49</v>
      </c>
      <c r="B6">
        <v>0</v>
      </c>
      <c r="C6">
        <v>0</v>
      </c>
    </row>
    <row r="7" spans="1:3" x14ac:dyDescent="0.3">
      <c r="A7">
        <v>50</v>
      </c>
      <c r="B7">
        <v>0</v>
      </c>
      <c r="C7">
        <v>0</v>
      </c>
    </row>
    <row r="8" spans="1:3" x14ac:dyDescent="0.3">
      <c r="A8">
        <v>51</v>
      </c>
      <c r="B8">
        <v>0</v>
      </c>
      <c r="C8">
        <v>0</v>
      </c>
    </row>
    <row r="9" spans="1:3" x14ac:dyDescent="0.3">
      <c r="A9">
        <v>52</v>
      </c>
      <c r="B9">
        <v>0</v>
      </c>
      <c r="C9">
        <v>0</v>
      </c>
    </row>
    <row r="10" spans="1:3" x14ac:dyDescent="0.3">
      <c r="A10">
        <v>53</v>
      </c>
      <c r="B10">
        <v>0</v>
      </c>
      <c r="C10">
        <v>0</v>
      </c>
    </row>
    <row r="11" spans="1:3" x14ac:dyDescent="0.3">
      <c r="A11">
        <v>54</v>
      </c>
      <c r="B11">
        <v>0</v>
      </c>
      <c r="C11">
        <v>0</v>
      </c>
    </row>
    <row r="12" spans="1:3" x14ac:dyDescent="0.3">
      <c r="A12">
        <v>55</v>
      </c>
      <c r="B12">
        <v>0</v>
      </c>
      <c r="C12">
        <v>0</v>
      </c>
    </row>
    <row r="13" spans="1:3" x14ac:dyDescent="0.3">
      <c r="A13">
        <v>56</v>
      </c>
      <c r="B13">
        <v>0</v>
      </c>
      <c r="C13">
        <v>0</v>
      </c>
    </row>
    <row r="14" spans="1:3" x14ac:dyDescent="0.3">
      <c r="A14">
        <v>57</v>
      </c>
      <c r="B14">
        <v>1.7747793674028101</v>
      </c>
      <c r="C14">
        <v>0.916290731874155</v>
      </c>
    </row>
    <row r="15" spans="1:3" x14ac:dyDescent="0.3">
      <c r="A15">
        <v>59</v>
      </c>
      <c r="B15">
        <v>3.6375861597263799</v>
      </c>
      <c r="C15">
        <v>0.69314718055994495</v>
      </c>
    </row>
    <row r="16" spans="1:3" x14ac:dyDescent="0.3">
      <c r="A16">
        <v>61</v>
      </c>
      <c r="B16">
        <v>2.4695098776853399</v>
      </c>
      <c r="C16">
        <v>0.89381787602209595</v>
      </c>
    </row>
    <row r="17" spans="1:3" x14ac:dyDescent="0.3">
      <c r="A17">
        <v>62</v>
      </c>
      <c r="B17">
        <v>3.5343173006204802</v>
      </c>
      <c r="C17">
        <v>0.92367083917177695</v>
      </c>
    </row>
    <row r="18" spans="1:3" x14ac:dyDescent="0.3">
      <c r="A18">
        <v>63</v>
      </c>
      <c r="B18">
        <v>4.1886046806471899</v>
      </c>
      <c r="C18">
        <v>0.64802674527947501</v>
      </c>
    </row>
    <row r="19" spans="1:3" x14ac:dyDescent="0.3">
      <c r="A19">
        <v>64</v>
      </c>
      <c r="B19">
        <v>4.1891883224079303</v>
      </c>
      <c r="C19">
        <v>0.72439972406404896</v>
      </c>
    </row>
    <row r="20" spans="1:3" x14ac:dyDescent="0.3">
      <c r="A20">
        <v>65</v>
      </c>
      <c r="B20">
        <v>0</v>
      </c>
      <c r="C20">
        <v>0</v>
      </c>
    </row>
    <row r="21" spans="1:3" x14ac:dyDescent="0.3">
      <c r="A21">
        <v>66</v>
      </c>
      <c r="B21">
        <v>3.8828101920545</v>
      </c>
      <c r="C21">
        <v>0.51426796795696295</v>
      </c>
    </row>
    <row r="22" spans="1:3" x14ac:dyDescent="0.3">
      <c r="A22">
        <v>67</v>
      </c>
      <c r="B22">
        <v>1.89564703805597</v>
      </c>
      <c r="C22">
        <v>1.0986122886681</v>
      </c>
    </row>
    <row r="23" spans="1:3" x14ac:dyDescent="0.3">
      <c r="A23">
        <v>68</v>
      </c>
      <c r="B23">
        <v>0</v>
      </c>
      <c r="C23">
        <v>0</v>
      </c>
    </row>
    <row r="24" spans="1:3" x14ac:dyDescent="0.3">
      <c r="A24">
        <v>69</v>
      </c>
      <c r="B24">
        <v>3.0910424533583098</v>
      </c>
      <c r="C24">
        <v>0.69314718055994495</v>
      </c>
    </row>
    <row r="25" spans="1:3" x14ac:dyDescent="0.3">
      <c r="A25">
        <v>70</v>
      </c>
      <c r="B25">
        <v>2.6683669929878602</v>
      </c>
      <c r="C25">
        <v>1.0296194171811499</v>
      </c>
    </row>
    <row r="26" spans="1:3" x14ac:dyDescent="0.3">
      <c r="A26">
        <v>71</v>
      </c>
      <c r="B26">
        <v>1.58370634629087</v>
      </c>
      <c r="C26">
        <v>0.98082925301172597</v>
      </c>
    </row>
    <row r="27" spans="1:3" x14ac:dyDescent="0.3">
      <c r="A27">
        <v>72</v>
      </c>
      <c r="B27">
        <v>2.7267317333489598</v>
      </c>
      <c r="C27">
        <v>0.88238918019847301</v>
      </c>
    </row>
    <row r="28" spans="1:3" x14ac:dyDescent="0.3">
      <c r="A28">
        <v>73</v>
      </c>
      <c r="B28">
        <v>3.8003087024533202</v>
      </c>
      <c r="C28">
        <v>0.81377516834856001</v>
      </c>
    </row>
    <row r="29" spans="1:3" x14ac:dyDescent="0.3">
      <c r="A29">
        <v>74</v>
      </c>
      <c r="B29">
        <v>1.5563867342472399</v>
      </c>
      <c r="C29">
        <v>1.5040773967762699</v>
      </c>
    </row>
    <row r="30" spans="1:3" x14ac:dyDescent="0.3">
      <c r="A30">
        <v>75</v>
      </c>
      <c r="B30">
        <v>3.2776993581911098</v>
      </c>
      <c r="C30">
        <v>0.90672128085800396</v>
      </c>
    </row>
    <row r="31" spans="1:3" x14ac:dyDescent="0.3">
      <c r="A31">
        <v>76</v>
      </c>
      <c r="B31">
        <v>4.4557134063589396</v>
      </c>
      <c r="C31">
        <v>0.92494879461726898</v>
      </c>
    </row>
    <row r="32" spans="1:3" x14ac:dyDescent="0.3">
      <c r="A32">
        <v>77</v>
      </c>
      <c r="B32">
        <v>5.8790873012877203</v>
      </c>
      <c r="C32">
        <v>0.68337738896414002</v>
      </c>
    </row>
    <row r="33" spans="1:3" x14ac:dyDescent="0.3">
      <c r="A33">
        <v>78</v>
      </c>
      <c r="B33">
        <v>4.4957985277338004</v>
      </c>
      <c r="C33">
        <v>0.78733439561964602</v>
      </c>
    </row>
    <row r="34" spans="1:3" x14ac:dyDescent="0.3">
      <c r="A34">
        <v>79</v>
      </c>
      <c r="B34">
        <v>4.3159542156931296</v>
      </c>
      <c r="C34">
        <v>1.07956409369741</v>
      </c>
    </row>
    <row r="35" spans="1:3" x14ac:dyDescent="0.3">
      <c r="A35">
        <v>80</v>
      </c>
      <c r="B35">
        <v>4.3946034517012498</v>
      </c>
      <c r="C35">
        <v>0.90409545878033604</v>
      </c>
    </row>
    <row r="36" spans="1:3" x14ac:dyDescent="0.3">
      <c r="A36">
        <v>81</v>
      </c>
      <c r="B36">
        <v>4.4005839671817801</v>
      </c>
      <c r="C36">
        <v>0.69937773031058104</v>
      </c>
    </row>
    <row r="37" spans="1:3" x14ac:dyDescent="0.3">
      <c r="A37">
        <v>82</v>
      </c>
      <c r="B37">
        <v>5.3232729418494502</v>
      </c>
      <c r="C37">
        <v>0.76144172799617105</v>
      </c>
    </row>
    <row r="38" spans="1:3" x14ac:dyDescent="0.3">
      <c r="A38">
        <v>83</v>
      </c>
      <c r="B38">
        <v>5.4449053811822603</v>
      </c>
      <c r="C38">
        <v>0.75566753754127902</v>
      </c>
    </row>
    <row r="39" spans="1:3" x14ac:dyDescent="0.3">
      <c r="A39">
        <v>84</v>
      </c>
      <c r="B39">
        <v>3.2344586529021502</v>
      </c>
      <c r="C39">
        <v>1.11803037452521</v>
      </c>
    </row>
    <row r="40" spans="1:3" x14ac:dyDescent="0.3">
      <c r="A40">
        <v>85</v>
      </c>
      <c r="B40">
        <v>5.4722440800471199</v>
      </c>
      <c r="C40">
        <v>0.76063742216236097</v>
      </c>
    </row>
    <row r="41" spans="1:3" x14ac:dyDescent="0.3">
      <c r="A41">
        <v>86</v>
      </c>
      <c r="B41">
        <v>5.4489064815265298</v>
      </c>
      <c r="C41">
        <v>0.79017927211128902</v>
      </c>
    </row>
    <row r="42" spans="1:3" x14ac:dyDescent="0.3">
      <c r="A42">
        <v>87</v>
      </c>
      <c r="B42">
        <v>4.6346813941011202</v>
      </c>
      <c r="C42">
        <v>0.70299947700295695</v>
      </c>
    </row>
    <row r="43" spans="1:3" x14ac:dyDescent="0.3">
      <c r="A43">
        <v>88</v>
      </c>
      <c r="B43">
        <v>4.5518571184573302</v>
      </c>
      <c r="C43">
        <v>0.75910514835174203</v>
      </c>
    </row>
    <row r="44" spans="1:3" x14ac:dyDescent="0.3">
      <c r="A44">
        <v>89</v>
      </c>
      <c r="B44">
        <v>4.9126548857360497</v>
      </c>
      <c r="C44">
        <v>0.69314718055994495</v>
      </c>
    </row>
    <row r="45" spans="1:3" x14ac:dyDescent="0.3">
      <c r="A45">
        <v>90</v>
      </c>
      <c r="B45">
        <v>5.9787700925704304</v>
      </c>
      <c r="C45">
        <v>0.70849275023460501</v>
      </c>
    </row>
    <row r="46" spans="1:3" x14ac:dyDescent="0.3">
      <c r="A46">
        <v>91</v>
      </c>
      <c r="B46">
        <v>4.80790102518006</v>
      </c>
      <c r="C46">
        <v>0.71393795022901896</v>
      </c>
    </row>
    <row r="47" spans="1:3" x14ac:dyDescent="0.3">
      <c r="A47">
        <v>92</v>
      </c>
      <c r="B47">
        <v>5.6987347416367999</v>
      </c>
      <c r="C47">
        <v>0.70158604920580903</v>
      </c>
    </row>
    <row r="48" spans="1:3" x14ac:dyDescent="0.3">
      <c r="A48">
        <v>93</v>
      </c>
      <c r="B48">
        <v>5.3703554008055896</v>
      </c>
      <c r="C48">
        <v>0.76815209420352404</v>
      </c>
    </row>
    <row r="49" spans="1:3" x14ac:dyDescent="0.3">
      <c r="A49">
        <v>94</v>
      </c>
      <c r="B49">
        <v>5.7701788198512096</v>
      </c>
      <c r="C49">
        <v>0.79126503651846802</v>
      </c>
    </row>
    <row r="50" spans="1:3" x14ac:dyDescent="0.3">
      <c r="A50">
        <v>95</v>
      </c>
      <c r="B50">
        <v>5.2191646266663101</v>
      </c>
      <c r="C50">
        <v>0.74329696424541603</v>
      </c>
    </row>
    <row r="51" spans="1:3" x14ac:dyDescent="0.3">
      <c r="A51">
        <v>96</v>
      </c>
      <c r="B51">
        <v>6.4838081630380904</v>
      </c>
      <c r="C51">
        <v>0.86764444224637105</v>
      </c>
    </row>
    <row r="52" spans="1:3" x14ac:dyDescent="0.3">
      <c r="A52">
        <v>97</v>
      </c>
      <c r="B52">
        <v>3.93922109855703</v>
      </c>
      <c r="C52">
        <v>0.76497291513120003</v>
      </c>
    </row>
    <row r="53" spans="1:3" x14ac:dyDescent="0.3">
      <c r="A53">
        <v>98</v>
      </c>
      <c r="B53">
        <v>5.6805581723471299</v>
      </c>
      <c r="C53">
        <v>0.79529499384187397</v>
      </c>
    </row>
    <row r="54" spans="1:3" x14ac:dyDescent="0.3">
      <c r="A54">
        <v>99</v>
      </c>
      <c r="B54">
        <v>5.44117392541866</v>
      </c>
      <c r="C54">
        <v>0.87632747506231701</v>
      </c>
    </row>
    <row r="55" spans="1:3" x14ac:dyDescent="0.3">
      <c r="A55">
        <v>100</v>
      </c>
      <c r="B55">
        <v>5.4758654649838503</v>
      </c>
      <c r="C55">
        <v>0.76935378937058796</v>
      </c>
    </row>
    <row r="56" spans="1:3" x14ac:dyDescent="0.3">
      <c r="A56" t="s">
        <v>140</v>
      </c>
    </row>
    <row r="57" spans="1:3" x14ac:dyDescent="0.3">
      <c r="A57" t="s">
        <v>270</v>
      </c>
    </row>
    <row r="58" spans="1:3" x14ac:dyDescent="0.3">
      <c r="A58" t="s">
        <v>271</v>
      </c>
    </row>
    <row r="59" spans="1:3" x14ac:dyDescent="0.3">
      <c r="A59" t="s">
        <v>272</v>
      </c>
    </row>
    <row r="60" spans="1:3" x14ac:dyDescent="0.3">
      <c r="A60" t="s">
        <v>273</v>
      </c>
    </row>
    <row r="61" spans="1:3" x14ac:dyDescent="0.3">
      <c r="A61" t="s">
        <v>274</v>
      </c>
    </row>
    <row r="62" spans="1:3" x14ac:dyDescent="0.3">
      <c r="A62" t="s">
        <v>275</v>
      </c>
    </row>
    <row r="63" spans="1:3" x14ac:dyDescent="0.3">
      <c r="A63" t="s">
        <v>276</v>
      </c>
    </row>
    <row r="64" spans="1:3" x14ac:dyDescent="0.3">
      <c r="A64" t="s">
        <v>277</v>
      </c>
    </row>
    <row r="65" spans="1:1" x14ac:dyDescent="0.3">
      <c r="A65" t="s">
        <v>278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F593-FCF0-49CF-96A1-B6A4A279B311}">
  <sheetPr>
    <pageSetUpPr fitToPage="1"/>
  </sheetPr>
  <dimension ref="A1:F5"/>
  <sheetViews>
    <sheetView workbookViewId="0">
      <selection activeCell="H3" sqref="H3"/>
    </sheetView>
  </sheetViews>
  <sheetFormatPr defaultRowHeight="14.4" x14ac:dyDescent="0.3"/>
  <cols>
    <col min="1" max="1" width="23.5546875" customWidth="1"/>
    <col min="2" max="2" width="24.44140625" customWidth="1"/>
    <col min="3" max="3" width="24" customWidth="1"/>
    <col min="4" max="5" width="22.109375" customWidth="1"/>
    <col min="6" max="6" width="25.109375" customWidth="1"/>
  </cols>
  <sheetData>
    <row r="1" spans="1:6" x14ac:dyDescent="0.3">
      <c r="A1" s="37" t="s">
        <v>100</v>
      </c>
      <c r="B1" s="37" t="s">
        <v>101</v>
      </c>
      <c r="C1" s="37" t="s">
        <v>102</v>
      </c>
      <c r="D1" s="37" t="s">
        <v>103</v>
      </c>
      <c r="E1" s="37" t="s">
        <v>104</v>
      </c>
      <c r="F1" s="37" t="s">
        <v>105</v>
      </c>
    </row>
    <row r="2" spans="1:6" ht="87" thickBot="1" x14ac:dyDescent="0.35">
      <c r="A2" s="31" t="s">
        <v>106</v>
      </c>
      <c r="B2" s="32" t="s">
        <v>107</v>
      </c>
      <c r="C2" s="32" t="s">
        <v>108</v>
      </c>
      <c r="D2" s="32" t="s">
        <v>109</v>
      </c>
      <c r="E2" s="32" t="s">
        <v>110</v>
      </c>
      <c r="F2" s="32" t="s">
        <v>111</v>
      </c>
    </row>
    <row r="3" spans="1:6" ht="87" thickBot="1" x14ac:dyDescent="0.35">
      <c r="A3" s="33" t="s">
        <v>112</v>
      </c>
      <c r="B3" s="34" t="s">
        <v>113</v>
      </c>
      <c r="C3" s="34" t="s">
        <v>114</v>
      </c>
      <c r="D3" s="34" t="s">
        <v>115</v>
      </c>
      <c r="E3" s="34" t="s">
        <v>116</v>
      </c>
      <c r="F3" s="34" t="s">
        <v>117</v>
      </c>
    </row>
    <row r="4" spans="1:6" ht="72.599999999999994" thickBot="1" x14ac:dyDescent="0.35">
      <c r="A4" s="33" t="s">
        <v>118</v>
      </c>
      <c r="B4" s="34" t="s">
        <v>119</v>
      </c>
      <c r="C4" s="34" t="s">
        <v>120</v>
      </c>
      <c r="D4" s="34" t="s">
        <v>121</v>
      </c>
      <c r="E4" s="34" t="s">
        <v>122</v>
      </c>
      <c r="F4" s="34" t="s">
        <v>123</v>
      </c>
    </row>
    <row r="5" spans="1:6" ht="86.4" x14ac:dyDescent="0.3">
      <c r="A5" s="35" t="s">
        <v>124</v>
      </c>
      <c r="B5" s="36" t="s">
        <v>125</v>
      </c>
      <c r="C5" s="36" t="s">
        <v>126</v>
      </c>
      <c r="D5" s="36" t="s">
        <v>127</v>
      </c>
      <c r="E5" s="36" t="s">
        <v>128</v>
      </c>
      <c r="F5" s="36" t="s">
        <v>129</v>
      </c>
    </row>
  </sheetData>
  <pageMargins left="0.7" right="0.7" top="0.75" bottom="0.75" header="0.3" footer="0.3"/>
  <pageSetup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D111-26E9-4AC6-B567-C3D11C1D35A2}">
  <dimension ref="A1:BD92"/>
  <sheetViews>
    <sheetView tabSelected="1" topLeftCell="W41" zoomScale="55" zoomScaleNormal="55" workbookViewId="0">
      <selection activeCell="AS52" sqref="AS52"/>
    </sheetView>
  </sheetViews>
  <sheetFormatPr defaultRowHeight="14.4" x14ac:dyDescent="0.3"/>
  <cols>
    <col min="40" max="40" width="10.21875" customWidth="1"/>
    <col min="42" max="42" width="10.6640625" customWidth="1"/>
    <col min="43" max="43" width="15" customWidth="1"/>
    <col min="44" max="45" width="11.109375" customWidth="1"/>
  </cols>
  <sheetData>
    <row r="1" spans="1:56" x14ac:dyDescent="0.3">
      <c r="A1" t="s">
        <v>150</v>
      </c>
      <c r="B1" t="s">
        <v>150</v>
      </c>
      <c r="C1" t="s">
        <v>475</v>
      </c>
      <c r="N1" t="s">
        <v>150</v>
      </c>
      <c r="O1" t="s">
        <v>150</v>
      </c>
      <c r="P1" t="s">
        <v>478</v>
      </c>
      <c r="Z1" t="s">
        <v>150</v>
      </c>
      <c r="AA1" t="s">
        <v>150</v>
      </c>
      <c r="AB1" t="s">
        <v>481</v>
      </c>
      <c r="AL1" t="s">
        <v>150</v>
      </c>
      <c r="AM1" t="s">
        <v>150</v>
      </c>
      <c r="AN1" t="s">
        <v>490</v>
      </c>
      <c r="BA1" t="s">
        <v>150</v>
      </c>
      <c r="BB1" t="s">
        <v>150</v>
      </c>
      <c r="BC1" t="s">
        <v>500</v>
      </c>
    </row>
    <row r="2" spans="1:56" x14ac:dyDescent="0.3">
      <c r="A2" t="s">
        <v>150</v>
      </c>
      <c r="B2" t="s">
        <v>150</v>
      </c>
      <c r="C2" t="s">
        <v>476</v>
      </c>
      <c r="N2" t="s">
        <v>150</v>
      </c>
      <c r="O2" t="s">
        <v>150</v>
      </c>
      <c r="P2" t="s">
        <v>479</v>
      </c>
      <c r="Z2" t="s">
        <v>150</v>
      </c>
      <c r="AA2" t="s">
        <v>150</v>
      </c>
      <c r="AB2" t="s">
        <v>482</v>
      </c>
      <c r="AL2" t="s">
        <v>150</v>
      </c>
      <c r="AM2" t="s">
        <v>150</v>
      </c>
      <c r="AN2" t="s">
        <v>491</v>
      </c>
      <c r="BA2" t="s">
        <v>150</v>
      </c>
      <c r="BB2" t="s">
        <v>150</v>
      </c>
      <c r="BC2" t="s">
        <v>501</v>
      </c>
    </row>
    <row r="3" spans="1:56" x14ac:dyDescent="0.3">
      <c r="A3" t="s">
        <v>153</v>
      </c>
      <c r="B3" t="s">
        <v>386</v>
      </c>
      <c r="C3" t="s">
        <v>477</v>
      </c>
      <c r="N3" t="s">
        <v>153</v>
      </c>
      <c r="O3" t="s">
        <v>386</v>
      </c>
      <c r="P3" t="s">
        <v>477</v>
      </c>
      <c r="Z3" t="s">
        <v>153</v>
      </c>
      <c r="AA3" t="s">
        <v>386</v>
      </c>
      <c r="AB3" t="s">
        <v>467</v>
      </c>
      <c r="AL3" t="s">
        <v>153</v>
      </c>
      <c r="AM3" s="98" t="s">
        <v>492</v>
      </c>
      <c r="AN3" s="101" t="s">
        <v>467</v>
      </c>
      <c r="BA3" t="s">
        <v>153</v>
      </c>
      <c r="BB3" t="s">
        <v>492</v>
      </c>
      <c r="BC3" s="104" t="s">
        <v>477</v>
      </c>
      <c r="BD3" s="105" t="s">
        <v>509</v>
      </c>
    </row>
    <row r="4" spans="1:56" x14ac:dyDescent="0.3">
      <c r="A4">
        <v>68</v>
      </c>
      <c r="B4">
        <v>5</v>
      </c>
      <c r="C4">
        <v>0.430676558073393</v>
      </c>
      <c r="N4">
        <v>94</v>
      </c>
      <c r="O4">
        <v>14</v>
      </c>
      <c r="P4">
        <v>-5.1908930696844298</v>
      </c>
      <c r="Z4">
        <v>77</v>
      </c>
      <c r="AA4">
        <v>10</v>
      </c>
      <c r="AB4">
        <v>-35.299861484584099</v>
      </c>
      <c r="AL4">
        <v>77</v>
      </c>
      <c r="AM4" s="99">
        <v>77</v>
      </c>
      <c r="AN4" s="102">
        <v>-35.299861484584099</v>
      </c>
      <c r="BA4">
        <v>94</v>
      </c>
      <c r="BB4">
        <v>94</v>
      </c>
      <c r="BC4" s="104">
        <v>-5.1908930696844298</v>
      </c>
      <c r="BD4" s="105">
        <f>Table33[[#This Row],[ TdTps]]*10</f>
        <v>-51.908930696844294</v>
      </c>
    </row>
    <row r="5" spans="1:56" x14ac:dyDescent="0.3">
      <c r="A5">
        <v>67</v>
      </c>
      <c r="B5">
        <v>6</v>
      </c>
      <c r="C5">
        <v>0.63092975357145697</v>
      </c>
      <c r="N5">
        <v>95</v>
      </c>
      <c r="O5">
        <v>15</v>
      </c>
      <c r="P5">
        <v>-5.1908930696844298</v>
      </c>
      <c r="Z5">
        <v>63</v>
      </c>
      <c r="AA5">
        <v>11</v>
      </c>
      <c r="AB5">
        <v>-7.5037595225205598</v>
      </c>
      <c r="AL5">
        <v>63</v>
      </c>
      <c r="AM5" s="99">
        <v>63</v>
      </c>
      <c r="AN5" s="102">
        <v>-7.5037595225205598</v>
      </c>
      <c r="BA5">
        <v>95</v>
      </c>
      <c r="BB5">
        <v>95</v>
      </c>
      <c r="BC5" s="104">
        <v>-5.1908930696844298</v>
      </c>
      <c r="BD5" s="105">
        <f>Table33[[#This Row],[ TdTps]]*10</f>
        <v>-51.908930696844294</v>
      </c>
    </row>
    <row r="6" spans="1:56" x14ac:dyDescent="0.3">
      <c r="A6">
        <v>64</v>
      </c>
      <c r="B6">
        <v>7</v>
      </c>
      <c r="C6">
        <v>1</v>
      </c>
      <c r="N6">
        <v>89</v>
      </c>
      <c r="O6">
        <v>16</v>
      </c>
      <c r="P6">
        <v>-3.1062837195053898</v>
      </c>
      <c r="Z6">
        <v>66</v>
      </c>
      <c r="AA6">
        <v>12</v>
      </c>
      <c r="AB6">
        <v>-1.74648457374294</v>
      </c>
      <c r="AL6">
        <v>66</v>
      </c>
      <c r="AM6" s="99">
        <v>66</v>
      </c>
      <c r="AN6" s="102">
        <v>-1.74648457374294</v>
      </c>
      <c r="BA6">
        <v>89</v>
      </c>
      <c r="BB6">
        <v>89</v>
      </c>
      <c r="BC6" s="104">
        <v>-3.1062837195053898</v>
      </c>
      <c r="BD6" s="105">
        <f>Table33[[#This Row],[ TdTps]]*10</f>
        <v>-31.062837195053898</v>
      </c>
    </row>
    <row r="7" spans="1:56" x14ac:dyDescent="0.3">
      <c r="A7">
        <v>81</v>
      </c>
      <c r="B7">
        <v>8</v>
      </c>
      <c r="C7">
        <v>1.3569154488567201</v>
      </c>
      <c r="N7">
        <v>68</v>
      </c>
      <c r="O7">
        <v>17</v>
      </c>
      <c r="P7">
        <v>0.430676558073393</v>
      </c>
      <c r="Z7">
        <v>74</v>
      </c>
      <c r="AA7">
        <v>13</v>
      </c>
      <c r="AB7">
        <v>0.55329475566511199</v>
      </c>
      <c r="AL7">
        <v>74</v>
      </c>
      <c r="AM7" s="99">
        <v>74</v>
      </c>
      <c r="AN7" s="102">
        <v>0.55329475566511199</v>
      </c>
      <c r="BA7">
        <v>68</v>
      </c>
      <c r="BB7">
        <v>68</v>
      </c>
      <c r="BC7" s="104">
        <v>0.430676558073393</v>
      </c>
      <c r="BD7" s="105">
        <f>Table33[[#This Row],[ TdTps]]*10</f>
        <v>4.3067655807339298</v>
      </c>
    </row>
    <row r="8" spans="1:56" x14ac:dyDescent="0.3">
      <c r="A8">
        <v>71</v>
      </c>
      <c r="B8">
        <v>9</v>
      </c>
      <c r="C8">
        <v>1.7095112913514501</v>
      </c>
      <c r="N8">
        <v>67</v>
      </c>
      <c r="O8">
        <v>18</v>
      </c>
      <c r="P8">
        <v>0.63092975357145697</v>
      </c>
      <c r="Z8">
        <v>84</v>
      </c>
      <c r="AA8">
        <v>14</v>
      </c>
      <c r="AB8">
        <v>0.95985854692558203</v>
      </c>
      <c r="AL8">
        <v>84</v>
      </c>
      <c r="AM8" s="99">
        <v>84</v>
      </c>
      <c r="AN8" s="102">
        <v>0.95985854692558203</v>
      </c>
      <c r="BA8">
        <v>67</v>
      </c>
      <c r="BB8">
        <v>67</v>
      </c>
      <c r="BC8" s="104">
        <v>0.63092975357145697</v>
      </c>
      <c r="BD8" s="105">
        <f>Table33[[#This Row],[ TdTps]]*10</f>
        <v>6.3092975357145695</v>
      </c>
    </row>
    <row r="9" spans="1:56" x14ac:dyDescent="0.3">
      <c r="A9">
        <v>72</v>
      </c>
      <c r="B9">
        <v>10</v>
      </c>
      <c r="C9">
        <v>1.7095112913514501</v>
      </c>
      <c r="N9">
        <v>88</v>
      </c>
      <c r="O9">
        <v>19</v>
      </c>
      <c r="P9">
        <v>0.75647079736602996</v>
      </c>
      <c r="Z9">
        <v>67</v>
      </c>
      <c r="AA9">
        <v>15</v>
      </c>
      <c r="AB9">
        <v>1</v>
      </c>
      <c r="AL9">
        <v>67</v>
      </c>
      <c r="AM9" s="99">
        <v>67</v>
      </c>
      <c r="AN9" s="102">
        <v>1</v>
      </c>
      <c r="BA9">
        <v>88</v>
      </c>
      <c r="BB9">
        <v>88</v>
      </c>
      <c r="BC9" s="104">
        <v>0.75647079736602996</v>
      </c>
      <c r="BD9" s="105">
        <f>Table33[[#This Row],[ TdTps]]*10</f>
        <v>7.5647079736602993</v>
      </c>
    </row>
    <row r="10" spans="1:56" x14ac:dyDescent="0.3">
      <c r="A10">
        <v>73</v>
      </c>
      <c r="B10">
        <v>11</v>
      </c>
      <c r="C10">
        <v>1.7095112913514501</v>
      </c>
      <c r="N10">
        <v>63</v>
      </c>
      <c r="O10">
        <v>20</v>
      </c>
      <c r="P10">
        <v>1</v>
      </c>
      <c r="Z10">
        <v>79</v>
      </c>
      <c r="AA10">
        <v>16</v>
      </c>
      <c r="AB10">
        <v>1.0432096687204899</v>
      </c>
      <c r="AL10">
        <v>79</v>
      </c>
      <c r="AM10" s="99">
        <v>79</v>
      </c>
      <c r="AN10" s="102">
        <v>1.0432096687204899</v>
      </c>
      <c r="BA10">
        <v>63</v>
      </c>
      <c r="BB10">
        <v>63</v>
      </c>
      <c r="BC10" s="104">
        <v>1</v>
      </c>
      <c r="BD10" s="105">
        <f>Table33[[#This Row],[ TdTps]]*10</f>
        <v>10</v>
      </c>
    </row>
    <row r="11" spans="1:56" x14ac:dyDescent="0.3">
      <c r="A11">
        <v>74</v>
      </c>
      <c r="B11">
        <v>12</v>
      </c>
      <c r="C11">
        <v>1.7095112913514501</v>
      </c>
      <c r="N11">
        <v>64</v>
      </c>
      <c r="O11">
        <v>21</v>
      </c>
      <c r="P11">
        <v>1</v>
      </c>
      <c r="Z11">
        <v>70</v>
      </c>
      <c r="AA11">
        <v>17</v>
      </c>
      <c r="AB11">
        <v>1.17924958483937</v>
      </c>
      <c r="AL11">
        <v>70</v>
      </c>
      <c r="AM11" s="99">
        <v>70</v>
      </c>
      <c r="AN11" s="102">
        <v>1.17924958483937</v>
      </c>
      <c r="BA11">
        <v>64</v>
      </c>
      <c r="BB11">
        <v>64</v>
      </c>
      <c r="BC11" s="104">
        <v>1</v>
      </c>
      <c r="BD11" s="105">
        <f>Table33[[#This Row],[ TdTps]]*10</f>
        <v>10</v>
      </c>
    </row>
    <row r="12" spans="1:56" x14ac:dyDescent="0.3">
      <c r="A12">
        <v>75</v>
      </c>
      <c r="B12">
        <v>13</v>
      </c>
      <c r="C12">
        <v>1.7095112913514501</v>
      </c>
      <c r="N12">
        <v>65</v>
      </c>
      <c r="O12">
        <v>22</v>
      </c>
      <c r="P12">
        <v>1</v>
      </c>
      <c r="Z12">
        <v>71</v>
      </c>
      <c r="AA12">
        <v>18</v>
      </c>
      <c r="AB12">
        <v>1.3569154488567201</v>
      </c>
      <c r="AL12">
        <v>71</v>
      </c>
      <c r="AM12" s="99">
        <v>71</v>
      </c>
      <c r="AN12" s="102">
        <v>1.3569154488567201</v>
      </c>
      <c r="BA12">
        <v>65</v>
      </c>
      <c r="BB12">
        <v>65</v>
      </c>
      <c r="BC12" s="104">
        <v>1</v>
      </c>
      <c r="BD12" s="105">
        <f>Table33[[#This Row],[ TdTps]]*10</f>
        <v>10</v>
      </c>
    </row>
    <row r="13" spans="1:56" x14ac:dyDescent="0.3">
      <c r="A13">
        <v>87</v>
      </c>
      <c r="B13">
        <v>14</v>
      </c>
      <c r="C13">
        <v>1.7095112913514501</v>
      </c>
      <c r="N13">
        <v>66</v>
      </c>
      <c r="O13">
        <v>23</v>
      </c>
      <c r="P13">
        <v>1</v>
      </c>
      <c r="Z13">
        <v>76</v>
      </c>
      <c r="AA13">
        <v>19</v>
      </c>
      <c r="AB13">
        <v>1.6509249299241</v>
      </c>
      <c r="AL13">
        <v>76</v>
      </c>
      <c r="AM13" s="99">
        <v>76</v>
      </c>
      <c r="AN13" s="102">
        <v>1.6509249299241</v>
      </c>
      <c r="BA13">
        <v>66</v>
      </c>
      <c r="BB13">
        <v>66</v>
      </c>
      <c r="BC13" s="104">
        <v>1</v>
      </c>
      <c r="BD13" s="105">
        <f>Table33[[#This Row],[ TdTps]]*10</f>
        <v>10</v>
      </c>
    </row>
    <row r="14" spans="1:56" x14ac:dyDescent="0.3">
      <c r="A14">
        <v>92</v>
      </c>
      <c r="B14">
        <v>15</v>
      </c>
      <c r="C14">
        <v>1.7095112913514501</v>
      </c>
      <c r="N14">
        <v>81</v>
      </c>
      <c r="O14">
        <v>24</v>
      </c>
      <c r="P14">
        <v>1.3569154488567201</v>
      </c>
      <c r="Z14">
        <v>62</v>
      </c>
      <c r="AA14">
        <v>20</v>
      </c>
      <c r="AB14">
        <v>1.65929799403658</v>
      </c>
      <c r="AL14">
        <v>62</v>
      </c>
      <c r="AM14" s="99">
        <v>62</v>
      </c>
      <c r="AN14" s="102">
        <v>1.65929799403658</v>
      </c>
      <c r="BA14">
        <v>81</v>
      </c>
      <c r="BB14">
        <v>81</v>
      </c>
      <c r="BC14" s="104">
        <v>1.3569154488567201</v>
      </c>
      <c r="BD14" s="105">
        <f>Table33[[#This Row],[ TdTps]]*10</f>
        <v>13.5691544885672</v>
      </c>
    </row>
    <row r="15" spans="1:56" x14ac:dyDescent="0.3">
      <c r="A15">
        <v>97</v>
      </c>
      <c r="B15">
        <v>16</v>
      </c>
      <c r="C15">
        <v>3.1062837195053898</v>
      </c>
      <c r="N15">
        <v>71</v>
      </c>
      <c r="O15">
        <v>25</v>
      </c>
      <c r="P15">
        <v>1.7095112913514501</v>
      </c>
      <c r="Z15">
        <v>57</v>
      </c>
      <c r="AA15">
        <v>21</v>
      </c>
      <c r="AB15">
        <v>1.7095112913514501</v>
      </c>
      <c r="AL15">
        <v>57</v>
      </c>
      <c r="AM15" s="99">
        <v>57</v>
      </c>
      <c r="AN15" s="102">
        <v>1.7095112913514501</v>
      </c>
      <c r="BA15">
        <v>71</v>
      </c>
      <c r="BB15">
        <v>71</v>
      </c>
      <c r="BC15" s="104">
        <v>1.7095112913514501</v>
      </c>
      <c r="BD15" s="105">
        <f>Table33[[#This Row],[ TdTps]]*10</f>
        <v>17.095112913514502</v>
      </c>
    </row>
    <row r="16" spans="1:56" x14ac:dyDescent="0.3">
      <c r="N16">
        <v>72</v>
      </c>
      <c r="O16">
        <v>26</v>
      </c>
      <c r="P16">
        <v>1.7095112913514501</v>
      </c>
      <c r="Z16">
        <v>75</v>
      </c>
      <c r="AA16">
        <v>22</v>
      </c>
      <c r="AB16">
        <v>1.77974296962276</v>
      </c>
      <c r="AL16">
        <v>75</v>
      </c>
      <c r="AM16" s="99">
        <v>75</v>
      </c>
      <c r="AN16" s="102">
        <v>1.77974296962276</v>
      </c>
      <c r="BA16">
        <v>72</v>
      </c>
      <c r="BB16">
        <v>72</v>
      </c>
      <c r="BC16" s="104">
        <v>1.7095112913514501</v>
      </c>
      <c r="BD16" s="105">
        <f>Table33[[#This Row],[ TdTps]]*10</f>
        <v>17.095112913514502</v>
      </c>
    </row>
    <row r="17" spans="14:56" x14ac:dyDescent="0.3">
      <c r="N17">
        <v>73</v>
      </c>
      <c r="O17">
        <v>27</v>
      </c>
      <c r="P17">
        <v>1.7095112913514501</v>
      </c>
      <c r="Z17">
        <v>80</v>
      </c>
      <c r="AA17">
        <v>23</v>
      </c>
      <c r="AB17">
        <v>1.8001193459475999</v>
      </c>
      <c r="AL17">
        <v>80</v>
      </c>
      <c r="AM17" s="99">
        <v>80</v>
      </c>
      <c r="AN17" s="102">
        <v>1.8001193459475999</v>
      </c>
      <c r="BA17">
        <v>73</v>
      </c>
      <c r="BB17">
        <v>73</v>
      </c>
      <c r="BC17" s="104">
        <v>1.7095112913514501</v>
      </c>
      <c r="BD17" s="105">
        <f>Table33[[#This Row],[ TdTps]]*10</f>
        <v>17.095112913514502</v>
      </c>
    </row>
    <row r="18" spans="14:56" x14ac:dyDescent="0.3">
      <c r="N18">
        <v>74</v>
      </c>
      <c r="O18">
        <v>28</v>
      </c>
      <c r="P18">
        <v>1.7095112913514501</v>
      </c>
      <c r="Z18">
        <v>61</v>
      </c>
      <c r="AA18">
        <v>24</v>
      </c>
      <c r="AB18">
        <v>1.88496184653024</v>
      </c>
      <c r="AL18">
        <v>61</v>
      </c>
      <c r="AM18" s="99">
        <v>61</v>
      </c>
      <c r="AN18" s="102">
        <v>1.88496184653024</v>
      </c>
      <c r="BA18">
        <v>74</v>
      </c>
      <c r="BB18">
        <v>74</v>
      </c>
      <c r="BC18" s="104">
        <v>1.7095112913514501</v>
      </c>
      <c r="BD18" s="105">
        <f>Table33[[#This Row],[ TdTps]]*10</f>
        <v>17.095112913514502</v>
      </c>
    </row>
    <row r="19" spans="14:56" x14ac:dyDescent="0.3">
      <c r="N19">
        <v>75</v>
      </c>
      <c r="O19">
        <v>29</v>
      </c>
      <c r="P19">
        <v>1.7095112913514501</v>
      </c>
      <c r="Z19">
        <v>72</v>
      </c>
      <c r="AA19">
        <v>25</v>
      </c>
      <c r="AB19">
        <v>1.9900484026476399</v>
      </c>
      <c r="AL19">
        <v>72</v>
      </c>
      <c r="AM19" s="99">
        <v>72</v>
      </c>
      <c r="AN19" s="102">
        <v>1.9900484026476399</v>
      </c>
      <c r="BA19">
        <v>75</v>
      </c>
      <c r="BB19">
        <v>75</v>
      </c>
      <c r="BC19" s="104">
        <v>1.7095112913514501</v>
      </c>
      <c r="BD19" s="105">
        <f>Table33[[#This Row],[ TdTps]]*10</f>
        <v>17.095112913514502</v>
      </c>
    </row>
    <row r="20" spans="14:56" x14ac:dyDescent="0.3">
      <c r="N20">
        <v>86</v>
      </c>
      <c r="O20">
        <v>30</v>
      </c>
      <c r="P20">
        <v>1.7095112913514501</v>
      </c>
      <c r="Z20">
        <v>99</v>
      </c>
      <c r="AA20">
        <v>26</v>
      </c>
      <c r="AB20">
        <v>2.0510716888963598</v>
      </c>
      <c r="AL20">
        <v>99</v>
      </c>
      <c r="AM20" s="99">
        <v>99</v>
      </c>
      <c r="AN20" s="102">
        <v>2.0510716888963598</v>
      </c>
      <c r="BA20">
        <v>86</v>
      </c>
      <c r="BB20">
        <v>86</v>
      </c>
      <c r="BC20" s="104">
        <v>1.7095112913514501</v>
      </c>
      <c r="BD20" s="105">
        <f>Table33[[#This Row],[ TdTps]]*10</f>
        <v>17.095112913514502</v>
      </c>
    </row>
    <row r="21" spans="14:56" x14ac:dyDescent="0.3">
      <c r="N21">
        <v>87</v>
      </c>
      <c r="O21">
        <v>31</v>
      </c>
      <c r="P21">
        <v>1.7095112913514501</v>
      </c>
      <c r="Z21">
        <v>96</v>
      </c>
      <c r="AA21">
        <v>27</v>
      </c>
      <c r="AB21">
        <v>2.1458240757226399</v>
      </c>
      <c r="AL21">
        <v>96</v>
      </c>
      <c r="AM21" s="99">
        <v>96</v>
      </c>
      <c r="AN21" s="102">
        <v>2.1458240757226399</v>
      </c>
      <c r="BA21">
        <v>87</v>
      </c>
      <c r="BB21">
        <v>87</v>
      </c>
      <c r="BC21" s="104">
        <v>1.7095112913514501</v>
      </c>
      <c r="BD21" s="105">
        <f>Table33[[#This Row],[ TdTps]]*10</f>
        <v>17.095112913514502</v>
      </c>
    </row>
    <row r="22" spans="14:56" x14ac:dyDescent="0.3">
      <c r="N22">
        <v>92</v>
      </c>
      <c r="O22">
        <v>32</v>
      </c>
      <c r="P22">
        <v>1.7095112913514501</v>
      </c>
      <c r="Z22">
        <v>73</v>
      </c>
      <c r="AA22">
        <v>28</v>
      </c>
      <c r="AB22">
        <v>3.03667429271291</v>
      </c>
      <c r="AL22">
        <v>73</v>
      </c>
      <c r="AM22" s="99">
        <v>73</v>
      </c>
      <c r="AN22" s="102">
        <v>3.03667429271291</v>
      </c>
      <c r="BA22">
        <v>92</v>
      </c>
      <c r="BB22">
        <v>92</v>
      </c>
      <c r="BC22" s="104">
        <v>1.7095112913514501</v>
      </c>
      <c r="BD22" s="105">
        <f>Table33[[#This Row],[ TdTps]]*10</f>
        <v>17.095112913514502</v>
      </c>
    </row>
    <row r="23" spans="14:56" x14ac:dyDescent="0.3">
      <c r="N23">
        <v>98</v>
      </c>
      <c r="O23">
        <v>33</v>
      </c>
      <c r="P23">
        <v>1.7095112913514501</v>
      </c>
      <c r="Z23">
        <v>98</v>
      </c>
      <c r="AA23">
        <v>29</v>
      </c>
      <c r="AB23">
        <v>3.5578537245839601</v>
      </c>
      <c r="AL23">
        <v>98</v>
      </c>
      <c r="AM23" s="99">
        <v>98</v>
      </c>
      <c r="AN23" s="102">
        <v>3.5578537245839601</v>
      </c>
      <c r="BA23">
        <v>98</v>
      </c>
      <c r="BB23">
        <v>98</v>
      </c>
      <c r="BC23" s="104">
        <v>1.7095112913514501</v>
      </c>
      <c r="BD23" s="105">
        <f>Table33[[#This Row],[ TdTps]]*10</f>
        <v>17.095112913514502</v>
      </c>
    </row>
    <row r="24" spans="14:56" x14ac:dyDescent="0.3">
      <c r="N24">
        <v>78</v>
      </c>
      <c r="O24">
        <v>34</v>
      </c>
      <c r="P24">
        <v>2.4094208396532002</v>
      </c>
      <c r="Z24">
        <v>94</v>
      </c>
      <c r="AA24">
        <v>30</v>
      </c>
      <c r="AB24">
        <v>3.6975154679172699</v>
      </c>
      <c r="AL24">
        <v>94</v>
      </c>
      <c r="AM24" s="99">
        <v>94</v>
      </c>
      <c r="AN24" s="102">
        <v>3.6975154679172699</v>
      </c>
      <c r="BA24">
        <v>78</v>
      </c>
      <c r="BB24">
        <v>78</v>
      </c>
      <c r="BC24" s="104">
        <v>2.4094208396532002</v>
      </c>
      <c r="BD24" s="105">
        <f>Table33[[#This Row],[ TdTps]]*10</f>
        <v>24.094208396532004</v>
      </c>
    </row>
    <row r="25" spans="14:56" x14ac:dyDescent="0.3">
      <c r="N25">
        <v>79</v>
      </c>
      <c r="O25">
        <v>35</v>
      </c>
      <c r="P25">
        <v>2.4094208396532002</v>
      </c>
      <c r="Z25">
        <v>86</v>
      </c>
      <c r="AA25">
        <v>31</v>
      </c>
      <c r="AB25">
        <v>3.7371233016415499</v>
      </c>
      <c r="AL25">
        <v>86</v>
      </c>
      <c r="AM25" s="99">
        <v>86</v>
      </c>
      <c r="AN25" s="102">
        <v>3.7371233016415499</v>
      </c>
      <c r="BA25">
        <v>79</v>
      </c>
      <c r="BB25">
        <v>79</v>
      </c>
      <c r="BC25" s="104">
        <v>2.4094208396532002</v>
      </c>
      <c r="BD25" s="105">
        <f>Table33[[#This Row],[ TdTps]]*10</f>
        <v>24.094208396532004</v>
      </c>
    </row>
    <row r="26" spans="14:56" x14ac:dyDescent="0.3">
      <c r="N26">
        <v>80</v>
      </c>
      <c r="O26">
        <v>36</v>
      </c>
      <c r="P26">
        <v>2.4094208396532002</v>
      </c>
      <c r="Z26">
        <v>78</v>
      </c>
      <c r="AA26">
        <v>32</v>
      </c>
      <c r="AB26">
        <v>3.8452244952874901</v>
      </c>
      <c r="AL26">
        <v>78</v>
      </c>
      <c r="AM26" s="99">
        <v>78</v>
      </c>
      <c r="AN26" s="102">
        <v>3.8452244952874901</v>
      </c>
      <c r="BA26">
        <v>80</v>
      </c>
      <c r="BB26">
        <v>80</v>
      </c>
      <c r="BC26" s="104">
        <v>2.4094208396532002</v>
      </c>
      <c r="BD26" s="105">
        <f>Table33[[#This Row],[ TdTps]]*10</f>
        <v>24.094208396532004</v>
      </c>
    </row>
    <row r="27" spans="14:56" x14ac:dyDescent="0.3">
      <c r="N27">
        <v>83</v>
      </c>
      <c r="O27">
        <v>37</v>
      </c>
      <c r="P27">
        <v>3.1062837195053898</v>
      </c>
      <c r="Z27">
        <v>100</v>
      </c>
      <c r="AA27">
        <v>33</v>
      </c>
      <c r="AB27">
        <v>4.7148140832379299</v>
      </c>
      <c r="AL27">
        <v>100</v>
      </c>
      <c r="AM27" s="99">
        <v>100</v>
      </c>
      <c r="AN27" s="102">
        <v>4.7148140832379299</v>
      </c>
      <c r="BA27">
        <v>83</v>
      </c>
      <c r="BB27">
        <v>83</v>
      </c>
      <c r="BC27" s="104">
        <v>3.1062837195053898</v>
      </c>
      <c r="BD27" s="105">
        <f>Table33[[#This Row],[ TdTps]]*10</f>
        <v>31.062837195053898</v>
      </c>
    </row>
    <row r="28" spans="14:56" x14ac:dyDescent="0.3">
      <c r="N28">
        <v>84</v>
      </c>
      <c r="O28">
        <v>38</v>
      </c>
      <c r="P28">
        <v>3.1062837195053898</v>
      </c>
      <c r="Z28">
        <v>93</v>
      </c>
      <c r="AA28">
        <v>34</v>
      </c>
      <c r="AB28">
        <v>4.7877717154122301</v>
      </c>
      <c r="AL28">
        <v>93</v>
      </c>
      <c r="AM28" s="99">
        <v>93</v>
      </c>
      <c r="AN28" s="102">
        <v>4.7877717154122301</v>
      </c>
      <c r="BA28">
        <v>84</v>
      </c>
      <c r="BB28">
        <v>84</v>
      </c>
      <c r="BC28" s="104">
        <v>3.1062837195053898</v>
      </c>
      <c r="BD28" s="105">
        <f>Table33[[#This Row],[ TdTps]]*10</f>
        <v>31.062837195053898</v>
      </c>
    </row>
    <row r="29" spans="14:56" x14ac:dyDescent="0.3">
      <c r="N29">
        <v>85</v>
      </c>
      <c r="O29">
        <v>39</v>
      </c>
      <c r="P29">
        <v>3.1062837195053898</v>
      </c>
      <c r="Z29">
        <v>97</v>
      </c>
      <c r="AA29">
        <v>35</v>
      </c>
      <c r="AB29">
        <v>4.9925448702448296</v>
      </c>
      <c r="AL29">
        <v>97</v>
      </c>
      <c r="AM29" s="99">
        <v>97</v>
      </c>
      <c r="AN29" s="102">
        <v>4.9925448702448296</v>
      </c>
      <c r="BA29">
        <v>85</v>
      </c>
      <c r="BB29">
        <v>85</v>
      </c>
      <c r="BC29" s="104">
        <v>3.1062837195053898</v>
      </c>
      <c r="BD29" s="105">
        <f>Table33[[#This Row],[ TdTps]]*10</f>
        <v>31.062837195053898</v>
      </c>
    </row>
    <row r="30" spans="14:56" x14ac:dyDescent="0.3">
      <c r="N30">
        <v>97</v>
      </c>
      <c r="O30">
        <v>40</v>
      </c>
      <c r="P30">
        <v>3.1062837195053898</v>
      </c>
      <c r="Z30">
        <v>82</v>
      </c>
      <c r="AA30">
        <v>36</v>
      </c>
      <c r="AB30">
        <v>5.2423128931211203</v>
      </c>
      <c r="AL30">
        <v>82</v>
      </c>
      <c r="AM30" s="99">
        <v>82</v>
      </c>
      <c r="AN30" s="102">
        <v>5.2423128931211203</v>
      </c>
      <c r="BA30">
        <v>97</v>
      </c>
      <c r="BB30">
        <v>97</v>
      </c>
      <c r="BC30" s="104">
        <v>3.1062837195053898</v>
      </c>
      <c r="BD30" s="105">
        <f>Table33[[#This Row],[ TdTps]]*10</f>
        <v>31.062837195053898</v>
      </c>
    </row>
    <row r="31" spans="14:56" x14ac:dyDescent="0.3">
      <c r="N31">
        <v>90</v>
      </c>
      <c r="O31">
        <v>41</v>
      </c>
      <c r="P31">
        <v>3.8017840169239299</v>
      </c>
      <c r="Z31">
        <v>85</v>
      </c>
      <c r="AA31">
        <v>37</v>
      </c>
      <c r="AB31">
        <v>5.3028537083223801</v>
      </c>
      <c r="AL31">
        <v>85</v>
      </c>
      <c r="AM31" s="99">
        <v>85</v>
      </c>
      <c r="AN31" s="102">
        <v>5.3028537083223801</v>
      </c>
      <c r="BA31">
        <v>90</v>
      </c>
      <c r="BB31">
        <v>90</v>
      </c>
      <c r="BC31" s="104">
        <v>3.8017840169239299</v>
      </c>
      <c r="BD31" s="105">
        <f>Table33[[#This Row],[ TdTps]]*10</f>
        <v>38.0178401692393</v>
      </c>
    </row>
    <row r="32" spans="14:56" x14ac:dyDescent="0.3">
      <c r="N32">
        <v>100</v>
      </c>
      <c r="O32">
        <v>42</v>
      </c>
      <c r="P32">
        <v>9.35320668499946</v>
      </c>
      <c r="Z32">
        <v>88</v>
      </c>
      <c r="AA32">
        <v>38</v>
      </c>
      <c r="AB32">
        <v>5.42227097958021</v>
      </c>
      <c r="AL32">
        <v>88</v>
      </c>
      <c r="AM32" s="99">
        <v>88</v>
      </c>
      <c r="AN32" s="102">
        <v>5.42227097958021</v>
      </c>
      <c r="BA32">
        <v>100</v>
      </c>
      <c r="BB32">
        <v>100</v>
      </c>
      <c r="BC32" s="104">
        <v>9.35320668499946</v>
      </c>
      <c r="BD32" s="105">
        <f>Table33[[#This Row],[ TdTps]]*10</f>
        <v>93.532066849994607</v>
      </c>
    </row>
    <row r="33" spans="26:53" x14ac:dyDescent="0.3">
      <c r="Z33">
        <v>83</v>
      </c>
      <c r="AA33">
        <v>39</v>
      </c>
      <c r="AB33">
        <v>5.7114558818216903</v>
      </c>
      <c r="AL33">
        <v>83</v>
      </c>
      <c r="AM33" s="99">
        <v>83</v>
      </c>
      <c r="AN33" s="102">
        <v>5.7114558818216903</v>
      </c>
      <c r="BA33" t="s">
        <v>480</v>
      </c>
    </row>
    <row r="34" spans="26:53" x14ac:dyDescent="0.3">
      <c r="Z34">
        <v>95</v>
      </c>
      <c r="AA34">
        <v>40</v>
      </c>
      <c r="AB34">
        <v>7.0798502464049404</v>
      </c>
      <c r="AL34">
        <v>95</v>
      </c>
      <c r="AM34" s="99">
        <v>95</v>
      </c>
      <c r="AN34" s="102">
        <v>7.0798502464049404</v>
      </c>
      <c r="BA34" t="s">
        <v>502</v>
      </c>
    </row>
    <row r="35" spans="26:53" x14ac:dyDescent="0.3">
      <c r="Z35">
        <v>64</v>
      </c>
      <c r="AA35">
        <v>41</v>
      </c>
      <c r="AB35">
        <v>11.260086185313799</v>
      </c>
      <c r="AL35">
        <v>64</v>
      </c>
      <c r="AM35" s="99">
        <v>64</v>
      </c>
      <c r="AN35" s="102">
        <v>11.260086185313799</v>
      </c>
      <c r="BA35" t="s">
        <v>503</v>
      </c>
    </row>
    <row r="36" spans="26:53" x14ac:dyDescent="0.3">
      <c r="Z36">
        <v>91</v>
      </c>
      <c r="AA36">
        <v>42</v>
      </c>
      <c r="AB36">
        <v>16.841099171232599</v>
      </c>
      <c r="AL36">
        <v>91</v>
      </c>
      <c r="AM36" s="99">
        <v>91</v>
      </c>
      <c r="AN36" s="102">
        <v>16.841099171232599</v>
      </c>
      <c r="BA36" t="s">
        <v>504</v>
      </c>
    </row>
    <row r="37" spans="26:53" x14ac:dyDescent="0.3">
      <c r="Z37">
        <v>90</v>
      </c>
      <c r="AA37">
        <v>43</v>
      </c>
      <c r="AB37">
        <v>22.756573062773501</v>
      </c>
      <c r="AL37">
        <v>90</v>
      </c>
      <c r="AM37" s="99">
        <v>90</v>
      </c>
      <c r="AN37" s="102">
        <v>22.756573062773501</v>
      </c>
      <c r="BA37" t="s">
        <v>505</v>
      </c>
    </row>
    <row r="38" spans="26:53" x14ac:dyDescent="0.3">
      <c r="Z38">
        <v>87</v>
      </c>
      <c r="AA38">
        <v>44</v>
      </c>
      <c r="AB38">
        <v>35.349373586093698</v>
      </c>
      <c r="AL38">
        <v>87</v>
      </c>
      <c r="AM38" s="99">
        <v>87</v>
      </c>
      <c r="AN38" s="102">
        <v>35.349373586093698</v>
      </c>
      <c r="BA38" t="s">
        <v>506</v>
      </c>
    </row>
    <row r="39" spans="26:53" x14ac:dyDescent="0.3">
      <c r="Z39">
        <v>92</v>
      </c>
      <c r="AA39">
        <v>45</v>
      </c>
      <c r="AB39">
        <v>41.241286430664502</v>
      </c>
      <c r="AL39">
        <v>92</v>
      </c>
      <c r="AM39" s="99">
        <v>92</v>
      </c>
      <c r="AN39" s="102">
        <v>41.241286430664502</v>
      </c>
      <c r="BA39" t="s">
        <v>507</v>
      </c>
    </row>
    <row r="40" spans="26:53" x14ac:dyDescent="0.3">
      <c r="Z40">
        <v>81</v>
      </c>
      <c r="AA40">
        <v>46</v>
      </c>
      <c r="AB40">
        <v>55.797630484028602</v>
      </c>
      <c r="AL40">
        <v>81</v>
      </c>
      <c r="AM40" s="100">
        <v>81</v>
      </c>
      <c r="AN40" s="103">
        <v>55.797630484028602</v>
      </c>
      <c r="BA40" t="s">
        <v>508</v>
      </c>
    </row>
    <row r="41" spans="26:53" x14ac:dyDescent="0.3">
      <c r="Z41" t="s">
        <v>480</v>
      </c>
    </row>
    <row r="42" spans="26:53" x14ac:dyDescent="0.3">
      <c r="Z42" t="s">
        <v>483</v>
      </c>
      <c r="AL42" t="s">
        <v>480</v>
      </c>
    </row>
    <row r="43" spans="26:53" x14ac:dyDescent="0.3">
      <c r="Z43" t="s">
        <v>484</v>
      </c>
      <c r="AL43" t="s">
        <v>493</v>
      </c>
    </row>
    <row r="44" spans="26:53" x14ac:dyDescent="0.3">
      <c r="Z44" t="s">
        <v>485</v>
      </c>
      <c r="AL44" t="s">
        <v>494</v>
      </c>
    </row>
    <row r="45" spans="26:53" x14ac:dyDescent="0.3">
      <c r="Z45" t="s">
        <v>486</v>
      </c>
      <c r="AL45" t="s">
        <v>495</v>
      </c>
    </row>
    <row r="46" spans="26:53" x14ac:dyDescent="0.3">
      <c r="Z46" t="s">
        <v>487</v>
      </c>
      <c r="AL46" t="s">
        <v>496</v>
      </c>
    </row>
    <row r="47" spans="26:53" x14ac:dyDescent="0.3">
      <c r="Z47" t="s">
        <v>488</v>
      </c>
      <c r="AL47" t="s">
        <v>497</v>
      </c>
    </row>
    <row r="48" spans="26:53" x14ac:dyDescent="0.3">
      <c r="Z48" t="s">
        <v>489</v>
      </c>
      <c r="AL48" t="s">
        <v>498</v>
      </c>
    </row>
    <row r="49" spans="38:44" x14ac:dyDescent="0.3">
      <c r="AL49" t="s">
        <v>499</v>
      </c>
    </row>
    <row r="52" spans="38:44" x14ac:dyDescent="0.3">
      <c r="AO52" s="109" t="s">
        <v>492</v>
      </c>
      <c r="AP52" s="110" t="s">
        <v>477</v>
      </c>
      <c r="AQ52" s="111" t="s">
        <v>509</v>
      </c>
      <c r="AR52" s="112" t="s">
        <v>467</v>
      </c>
    </row>
    <row r="53" spans="38:44" x14ac:dyDescent="0.3">
      <c r="AO53" s="106">
        <v>77</v>
      </c>
      <c r="AP53" s="107">
        <v>0</v>
      </c>
      <c r="AQ53" s="108">
        <f>AP53*5</f>
        <v>0</v>
      </c>
      <c r="AR53" s="107">
        <v>-35.299861484584099</v>
      </c>
    </row>
    <row r="54" spans="38:44" x14ac:dyDescent="0.3">
      <c r="AO54" s="106">
        <v>63</v>
      </c>
      <c r="AP54" s="107">
        <v>1</v>
      </c>
      <c r="AQ54" s="108">
        <f>AP54*5</f>
        <v>5</v>
      </c>
      <c r="AR54" s="107">
        <v>-7.5037595225205598</v>
      </c>
    </row>
    <row r="55" spans="38:44" x14ac:dyDescent="0.3">
      <c r="AO55" s="106">
        <v>66</v>
      </c>
      <c r="AP55" s="107">
        <v>1</v>
      </c>
      <c r="AQ55" s="108">
        <f>AP55*5</f>
        <v>5</v>
      </c>
      <c r="AR55" s="107">
        <v>-1.74648457374294</v>
      </c>
    </row>
    <row r="56" spans="38:44" x14ac:dyDescent="0.3">
      <c r="AO56" s="106">
        <v>74</v>
      </c>
      <c r="AP56" s="107">
        <v>1.7095112913514501</v>
      </c>
      <c r="AQ56" s="108">
        <f>AP56*5</f>
        <v>8.5475564567572508</v>
      </c>
      <c r="AR56" s="107">
        <v>0.55329475566511199</v>
      </c>
    </row>
    <row r="57" spans="38:44" x14ac:dyDescent="0.3">
      <c r="AO57" s="106">
        <v>84</v>
      </c>
      <c r="AP57" s="107">
        <v>3.1062837195053898</v>
      </c>
      <c r="AQ57" s="108">
        <f>AP57*5</f>
        <v>15.531418597526949</v>
      </c>
      <c r="AR57" s="107">
        <v>0.95985854692558203</v>
      </c>
    </row>
    <row r="58" spans="38:44" x14ac:dyDescent="0.3">
      <c r="AO58" s="106">
        <v>67</v>
      </c>
      <c r="AP58" s="107">
        <v>0.63092975357145697</v>
      </c>
      <c r="AQ58" s="108">
        <f>AP58*5</f>
        <v>3.1546487678572848</v>
      </c>
      <c r="AR58" s="107">
        <v>1</v>
      </c>
    </row>
    <row r="59" spans="38:44" x14ac:dyDescent="0.3">
      <c r="AO59" s="106">
        <v>79</v>
      </c>
      <c r="AP59" s="107">
        <v>2.4094208396532002</v>
      </c>
      <c r="AQ59" s="108">
        <f>AP59*5</f>
        <v>12.047104198266002</v>
      </c>
      <c r="AR59" s="107">
        <v>1.0432096687204899</v>
      </c>
    </row>
    <row r="60" spans="38:44" x14ac:dyDescent="0.3">
      <c r="AO60" s="106">
        <v>70</v>
      </c>
      <c r="AP60" s="107">
        <v>0</v>
      </c>
      <c r="AQ60" s="108">
        <f>AP60*5</f>
        <v>0</v>
      </c>
      <c r="AR60" s="107">
        <v>1.17924958483937</v>
      </c>
    </row>
    <row r="61" spans="38:44" x14ac:dyDescent="0.3">
      <c r="AO61" s="106">
        <v>71</v>
      </c>
      <c r="AP61" s="107">
        <v>1.7095112913514501</v>
      </c>
      <c r="AQ61" s="108">
        <f>AP61*5</f>
        <v>8.5475564567572508</v>
      </c>
      <c r="AR61" s="107">
        <v>1.3569154488567201</v>
      </c>
    </row>
    <row r="62" spans="38:44" x14ac:dyDescent="0.3">
      <c r="AO62" s="106">
        <v>76</v>
      </c>
      <c r="AP62" s="107">
        <v>0</v>
      </c>
      <c r="AQ62" s="108">
        <f>AP62*5</f>
        <v>0</v>
      </c>
      <c r="AR62" s="107">
        <v>1.6509249299241</v>
      </c>
    </row>
    <row r="63" spans="38:44" x14ac:dyDescent="0.3">
      <c r="AO63" s="106">
        <v>62</v>
      </c>
      <c r="AP63" s="107">
        <v>0</v>
      </c>
      <c r="AQ63" s="108">
        <f>AP63*5</f>
        <v>0</v>
      </c>
      <c r="AR63" s="107">
        <v>1.65929799403658</v>
      </c>
    </row>
    <row r="64" spans="38:44" x14ac:dyDescent="0.3">
      <c r="AO64" s="106">
        <v>57</v>
      </c>
      <c r="AP64" s="107">
        <v>0</v>
      </c>
      <c r="AQ64" s="108">
        <f>AP64*5</f>
        <v>0</v>
      </c>
      <c r="AR64" s="107">
        <v>1.7095112913514501</v>
      </c>
    </row>
    <row r="65" spans="41:44" x14ac:dyDescent="0.3">
      <c r="AO65" s="106">
        <v>75</v>
      </c>
      <c r="AP65" s="107">
        <v>1.7095112913514501</v>
      </c>
      <c r="AQ65" s="108">
        <f>AP65*5</f>
        <v>8.5475564567572508</v>
      </c>
      <c r="AR65" s="107">
        <v>1.77974296962276</v>
      </c>
    </row>
    <row r="66" spans="41:44" x14ac:dyDescent="0.3">
      <c r="AO66" s="106">
        <v>80</v>
      </c>
      <c r="AP66" s="107">
        <v>2.4094208396532002</v>
      </c>
      <c r="AQ66" s="108">
        <f>AP66*5</f>
        <v>12.047104198266002</v>
      </c>
      <c r="AR66" s="107">
        <v>1.8001193459475999</v>
      </c>
    </row>
    <row r="67" spans="41:44" x14ac:dyDescent="0.3">
      <c r="AO67" s="106">
        <v>61</v>
      </c>
      <c r="AP67" s="107">
        <v>0</v>
      </c>
      <c r="AQ67" s="108">
        <f>AP67*5</f>
        <v>0</v>
      </c>
      <c r="AR67" s="107">
        <v>1.88496184653024</v>
      </c>
    </row>
    <row r="68" spans="41:44" x14ac:dyDescent="0.3">
      <c r="AO68" s="106">
        <v>72</v>
      </c>
      <c r="AP68" s="107">
        <v>1.7095112913514501</v>
      </c>
      <c r="AQ68" s="108">
        <f>AP68*5</f>
        <v>8.5475564567572508</v>
      </c>
      <c r="AR68" s="107">
        <v>1.9900484026476399</v>
      </c>
    </row>
    <row r="69" spans="41:44" x14ac:dyDescent="0.3">
      <c r="AO69" s="106">
        <v>99</v>
      </c>
      <c r="AP69" s="107">
        <v>0</v>
      </c>
      <c r="AQ69" s="108">
        <f>AP69*5</f>
        <v>0</v>
      </c>
      <c r="AR69" s="107">
        <v>2.0510716888963598</v>
      </c>
    </row>
    <row r="70" spans="41:44" x14ac:dyDescent="0.3">
      <c r="AO70" s="106">
        <v>96</v>
      </c>
      <c r="AP70" s="107">
        <v>0</v>
      </c>
      <c r="AQ70" s="108">
        <f>AP70*5</f>
        <v>0</v>
      </c>
      <c r="AR70" s="107">
        <v>2.1458240757226399</v>
      </c>
    </row>
    <row r="71" spans="41:44" x14ac:dyDescent="0.3">
      <c r="AO71" s="106">
        <v>73</v>
      </c>
      <c r="AP71" s="107">
        <v>1.7095112913514501</v>
      </c>
      <c r="AQ71" s="108">
        <f>AP71*5</f>
        <v>8.5475564567572508</v>
      </c>
      <c r="AR71" s="107">
        <v>3.03667429271291</v>
      </c>
    </row>
    <row r="72" spans="41:44" x14ac:dyDescent="0.3">
      <c r="AO72" s="106">
        <v>98</v>
      </c>
      <c r="AP72" s="107">
        <v>1.7095112913514501</v>
      </c>
      <c r="AQ72" s="108">
        <f>AP72*5</f>
        <v>8.5475564567572508</v>
      </c>
      <c r="AR72" s="107">
        <v>3.5578537245839601</v>
      </c>
    </row>
    <row r="73" spans="41:44" x14ac:dyDescent="0.3">
      <c r="AO73" s="106">
        <v>94</v>
      </c>
      <c r="AP73" s="107">
        <v>-5.1908930696844298</v>
      </c>
      <c r="AQ73" s="108">
        <f>AP73*5</f>
        <v>-25.954465348422147</v>
      </c>
      <c r="AR73" s="107">
        <v>3.6975154679172699</v>
      </c>
    </row>
    <row r="74" spans="41:44" x14ac:dyDescent="0.3">
      <c r="AO74" s="106">
        <v>86</v>
      </c>
      <c r="AP74" s="107">
        <v>1.7095112913514501</v>
      </c>
      <c r="AQ74" s="108">
        <f>AP74*5</f>
        <v>8.5475564567572508</v>
      </c>
      <c r="AR74" s="107">
        <v>3.7371233016415499</v>
      </c>
    </row>
    <row r="75" spans="41:44" x14ac:dyDescent="0.3">
      <c r="AO75" s="106">
        <v>78</v>
      </c>
      <c r="AP75" s="107">
        <v>2.4094208396532002</v>
      </c>
      <c r="AQ75" s="108">
        <f>AP75*5</f>
        <v>12.047104198266002</v>
      </c>
      <c r="AR75" s="107">
        <v>3.8452244952874901</v>
      </c>
    </row>
    <row r="76" spans="41:44" x14ac:dyDescent="0.3">
      <c r="AO76" s="106">
        <v>100</v>
      </c>
      <c r="AP76" s="107">
        <v>9.35320668499946</v>
      </c>
      <c r="AQ76" s="108">
        <f>AP76*5</f>
        <v>46.766033424997303</v>
      </c>
      <c r="AR76" s="107">
        <v>4.7148140832379299</v>
      </c>
    </row>
    <row r="77" spans="41:44" x14ac:dyDescent="0.3">
      <c r="AO77" s="106">
        <v>93</v>
      </c>
      <c r="AP77" s="107">
        <v>0</v>
      </c>
      <c r="AQ77" s="108">
        <f>AP77*5</f>
        <v>0</v>
      </c>
      <c r="AR77" s="107">
        <v>4.7877717154122301</v>
      </c>
    </row>
    <row r="78" spans="41:44" x14ac:dyDescent="0.3">
      <c r="AO78" s="106">
        <v>97</v>
      </c>
      <c r="AP78" s="107">
        <v>3.1062837195053898</v>
      </c>
      <c r="AQ78" s="108">
        <f>AP78*5</f>
        <v>15.531418597526949</v>
      </c>
      <c r="AR78" s="107">
        <v>4.9925448702448296</v>
      </c>
    </row>
    <row r="79" spans="41:44" x14ac:dyDescent="0.3">
      <c r="AO79" s="106">
        <v>82</v>
      </c>
      <c r="AP79" s="107">
        <v>0</v>
      </c>
      <c r="AQ79" s="108">
        <f>AP79*5</f>
        <v>0</v>
      </c>
      <c r="AR79" s="107">
        <v>5.2423128931211203</v>
      </c>
    </row>
    <row r="80" spans="41:44" x14ac:dyDescent="0.3">
      <c r="AO80" s="106">
        <v>85</v>
      </c>
      <c r="AP80" s="107">
        <v>3.1062837195053898</v>
      </c>
      <c r="AQ80" s="108">
        <f>AP80*5</f>
        <v>15.531418597526949</v>
      </c>
      <c r="AR80" s="107">
        <v>5.3028537083223801</v>
      </c>
    </row>
    <row r="81" spans="41:44" x14ac:dyDescent="0.3">
      <c r="AO81" s="106">
        <v>88</v>
      </c>
      <c r="AP81" s="107">
        <v>0.75647079736602996</v>
      </c>
      <c r="AQ81" s="108">
        <f>AP81*5</f>
        <v>3.7823539868301497</v>
      </c>
      <c r="AR81" s="107">
        <v>5.42227097958021</v>
      </c>
    </row>
    <row r="82" spans="41:44" x14ac:dyDescent="0.3">
      <c r="AO82" s="106">
        <v>83</v>
      </c>
      <c r="AP82" s="107">
        <v>3.1062837195053898</v>
      </c>
      <c r="AQ82" s="108">
        <f>AP82*5</f>
        <v>15.531418597526949</v>
      </c>
      <c r="AR82" s="107">
        <v>5.7114558818216903</v>
      </c>
    </row>
    <row r="83" spans="41:44" x14ac:dyDescent="0.3">
      <c r="AO83" s="106">
        <v>95</v>
      </c>
      <c r="AP83" s="107">
        <v>-5.1908930696844298</v>
      </c>
      <c r="AQ83" s="108">
        <f>AP83*5</f>
        <v>-25.954465348422147</v>
      </c>
      <c r="AR83" s="107">
        <v>7.0798502464049404</v>
      </c>
    </row>
    <row r="84" spans="41:44" x14ac:dyDescent="0.3">
      <c r="AO84" s="106">
        <v>64</v>
      </c>
      <c r="AP84" s="107">
        <v>1</v>
      </c>
      <c r="AQ84" s="108">
        <f>AP84*5</f>
        <v>5</v>
      </c>
      <c r="AR84" s="107">
        <v>11.260086185313799</v>
      </c>
    </row>
    <row r="85" spans="41:44" x14ac:dyDescent="0.3">
      <c r="AO85" s="106">
        <v>91</v>
      </c>
      <c r="AP85" s="107">
        <v>0</v>
      </c>
      <c r="AQ85" s="108">
        <f>AP85*5</f>
        <v>0</v>
      </c>
      <c r="AR85" s="107">
        <v>16.841099171232599</v>
      </c>
    </row>
    <row r="86" spans="41:44" x14ac:dyDescent="0.3">
      <c r="AO86" s="106">
        <v>90</v>
      </c>
      <c r="AP86" s="107">
        <v>3.8017840169239299</v>
      </c>
      <c r="AQ86" s="108">
        <f>AP86*5</f>
        <v>19.00892008461965</v>
      </c>
      <c r="AR86" s="107">
        <v>22.756573062773501</v>
      </c>
    </row>
    <row r="87" spans="41:44" x14ac:dyDescent="0.3">
      <c r="AO87" s="106">
        <v>87</v>
      </c>
      <c r="AP87" s="107">
        <v>1.7095112913514501</v>
      </c>
      <c r="AQ87" s="108">
        <f>AP87*5</f>
        <v>8.5475564567572508</v>
      </c>
      <c r="AR87" s="107">
        <v>35.349373586093698</v>
      </c>
    </row>
    <row r="88" spans="41:44" x14ac:dyDescent="0.3">
      <c r="AO88" s="106">
        <v>92</v>
      </c>
      <c r="AP88" s="107">
        <v>1.7095112913514501</v>
      </c>
      <c r="AQ88" s="108">
        <f>AP88*5</f>
        <v>8.5475564567572508</v>
      </c>
      <c r="AR88" s="107">
        <v>41.241286430664502</v>
      </c>
    </row>
    <row r="89" spans="41:44" x14ac:dyDescent="0.3">
      <c r="AO89" s="106">
        <v>81</v>
      </c>
      <c r="AP89" s="107">
        <v>1.3569154488567201</v>
      </c>
      <c r="AQ89" s="108">
        <f>AP89*5</f>
        <v>6.7845772442836001</v>
      </c>
      <c r="AR89" s="107">
        <v>55.797630484028602</v>
      </c>
    </row>
    <row r="90" spans="41:44" x14ac:dyDescent="0.3">
      <c r="AO90" s="106">
        <v>89</v>
      </c>
      <c r="AP90" s="107">
        <v>-3.1062837195053898</v>
      </c>
      <c r="AQ90" s="108">
        <f>AP90*5</f>
        <v>-15.531418597526949</v>
      </c>
      <c r="AR90" s="107"/>
    </row>
    <row r="91" spans="41:44" x14ac:dyDescent="0.3">
      <c r="AO91" s="106">
        <v>68</v>
      </c>
      <c r="AP91" s="107">
        <v>0.430676558073393</v>
      </c>
      <c r="AQ91" s="108">
        <f>AP91*5</f>
        <v>2.1533827903669649</v>
      </c>
      <c r="AR91" s="107"/>
    </row>
    <row r="92" spans="41:44" x14ac:dyDescent="0.3">
      <c r="AO92" s="106">
        <v>65</v>
      </c>
      <c r="AP92" s="107">
        <v>1</v>
      </c>
      <c r="AQ92" s="108">
        <f>AP92*5</f>
        <v>5</v>
      </c>
      <c r="AR92" s="107"/>
    </row>
  </sheetData>
  <sortState xmlns:xlrd2="http://schemas.microsoft.com/office/spreadsheetml/2017/richdata2" ref="AO53:AQ92">
    <sortCondition ref="AO53:AO92"/>
  </sortState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 Stats</vt:lpstr>
      <vt:lpstr>Sheet4</vt:lpstr>
      <vt:lpstr>Keto-CTA with change &amp;Ln-Values</vt:lpstr>
      <vt:lpstr>Sheet1</vt:lpstr>
      <vt:lpstr>Sheet3</vt:lpstr>
      <vt:lpstr>Sheet2</vt:lpstr>
      <vt:lpstr>GeoMean</vt:lpstr>
      <vt:lpstr>Comparison of Heart Scan Tools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England</dc:creator>
  <cp:lastModifiedBy>Jill England</cp:lastModifiedBy>
  <cp:lastPrinted>2025-07-20T18:45:12Z</cp:lastPrinted>
  <dcterms:created xsi:type="dcterms:W3CDTF">2025-07-19T21:44:15Z</dcterms:created>
  <dcterms:modified xsi:type="dcterms:W3CDTF">2026-04-30T16:59:17Z</dcterms:modified>
</cp:coreProperties>
</file>